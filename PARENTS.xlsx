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irc\Copilot github-NIR\"/>
    </mc:Choice>
  </mc:AlternateContent>
  <xr:revisionPtr revIDLastSave="0" documentId="13_ncr:1_{8E06F6A2-1364-4A4E-82BA-891B294D6D42}" xr6:coauthVersionLast="47" xr6:coauthVersionMax="47" xr10:uidLastSave="{00000000-0000-0000-0000-000000000000}"/>
  <bookViews>
    <workbookView xWindow="-120" yWindow="-120" windowWidth="29040" windowHeight="15720" xr2:uid="{F15289CA-416A-41F9-99D2-3240CE7FD42F}"/>
  </bookViews>
  <sheets>
    <sheet name="טרומפלדור הפקדות" sheetId="1" r:id="rId1"/>
  </sheets>
  <definedNames>
    <definedName name="_xlnm.Print_Area" localSheetId="0">'טרומפלדור הפקדות'!$A$3:$Q$95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95" i="1" l="1"/>
  <c r="AW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I96" i="1" s="1"/>
  <c r="AH95" i="1"/>
  <c r="AG95" i="1"/>
  <c r="AF95" i="1"/>
  <c r="AE95" i="1"/>
  <c r="AE96" i="1" s="1"/>
  <c r="AD95" i="1"/>
  <c r="AD96" i="1" s="1"/>
  <c r="AC95" i="1"/>
  <c r="AB95" i="1"/>
  <c r="AA95" i="1"/>
  <c r="Z95" i="1"/>
  <c r="Y95" i="1"/>
  <c r="Y96" i="1" s="1"/>
  <c r="X95" i="1"/>
  <c r="W95" i="1"/>
  <c r="V95" i="1"/>
  <c r="U95" i="1"/>
  <c r="T95" i="1"/>
  <c r="T96" i="1" s="1"/>
  <c r="L95" i="1"/>
  <c r="K95" i="1"/>
  <c r="K96" i="1" s="1"/>
  <c r="J95" i="1"/>
  <c r="I95" i="1"/>
  <c r="H95" i="1"/>
  <c r="H96" i="1" s="1"/>
  <c r="G95" i="1"/>
  <c r="G96" i="1" s="1"/>
  <c r="F95" i="1"/>
  <c r="E95" i="1"/>
  <c r="E96" i="1" s="1"/>
  <c r="D95" i="1"/>
  <c r="B95" i="1"/>
  <c r="B96" i="1" s="1"/>
  <c r="M53" i="1"/>
  <c r="M52" i="1"/>
  <c r="M51" i="1"/>
  <c r="M50" i="1"/>
  <c r="M49" i="1"/>
  <c r="AU48" i="1"/>
  <c r="M48" i="1"/>
  <c r="BR47" i="1"/>
  <c r="AU47" i="1"/>
  <c r="M47" i="1"/>
  <c r="O47" i="1" s="1"/>
  <c r="BN46" i="1"/>
  <c r="BM46" i="1"/>
  <c r="BK46" i="1" s="1"/>
  <c r="BL46" i="1"/>
  <c r="BF46" i="1"/>
  <c r="BE46" i="1" s="1"/>
  <c r="BD45" i="1" s="1"/>
  <c r="AU46" i="1"/>
  <c r="O46" i="1"/>
  <c r="M46" i="1"/>
  <c r="BR45" i="1"/>
  <c r="BF45" i="1"/>
  <c r="BE45" i="1"/>
  <c r="AU45" i="1"/>
  <c r="O45" i="1"/>
  <c r="M45" i="1"/>
  <c r="BN44" i="1"/>
  <c r="BM44" i="1"/>
  <c r="BK44" i="1" s="1"/>
  <c r="BL44" i="1"/>
  <c r="BJ43" i="1" s="1"/>
  <c r="BF44" i="1"/>
  <c r="BE44" i="1" s="1"/>
  <c r="AU44" i="1"/>
  <c r="M44" i="1"/>
  <c r="O44" i="1" s="1"/>
  <c r="BR43" i="1"/>
  <c r="BF43" i="1"/>
  <c r="BE43" i="1"/>
  <c r="BD43" i="1" s="1"/>
  <c r="AU43" i="1"/>
  <c r="M43" i="1"/>
  <c r="O43" i="1" s="1"/>
  <c r="BN42" i="1"/>
  <c r="BM42" i="1"/>
  <c r="BK42" i="1" s="1"/>
  <c r="BJ41" i="1" s="1"/>
  <c r="BL42" i="1"/>
  <c r="BF42" i="1"/>
  <c r="BE42" i="1" s="1"/>
  <c r="AU42" i="1"/>
  <c r="M42" i="1"/>
  <c r="O42" i="1" s="1"/>
  <c r="BR41" i="1"/>
  <c r="BF41" i="1"/>
  <c r="BE41" i="1" s="1"/>
  <c r="AU41" i="1"/>
  <c r="M41" i="1"/>
  <c r="O41" i="1" s="1"/>
  <c r="BN40" i="1"/>
  <c r="BK40" i="1" s="1"/>
  <c r="BM40" i="1"/>
  <c r="BL40" i="1"/>
  <c r="BF40" i="1"/>
  <c r="BE40" i="1"/>
  <c r="AU40" i="1"/>
  <c r="O40" i="1"/>
  <c r="M40" i="1"/>
  <c r="BR39" i="1"/>
  <c r="BF39" i="1"/>
  <c r="BE39" i="1" s="1"/>
  <c r="BD39" i="1" s="1"/>
  <c r="AU39" i="1"/>
  <c r="O39" i="1"/>
  <c r="M39" i="1"/>
  <c r="AU38" i="1"/>
  <c r="O38" i="1"/>
  <c r="M38" i="1"/>
  <c r="AU37" i="1"/>
  <c r="M37" i="1"/>
  <c r="O37" i="1" s="1"/>
  <c r="AU36" i="1"/>
  <c r="O36" i="1"/>
  <c r="M36" i="1"/>
  <c r="AU35" i="1"/>
  <c r="O35" i="1"/>
  <c r="M35" i="1"/>
  <c r="AU34" i="1"/>
  <c r="M34" i="1"/>
  <c r="O34" i="1" s="1"/>
  <c r="AU33" i="1"/>
  <c r="O33" i="1"/>
  <c r="M33" i="1"/>
  <c r="AU32" i="1"/>
  <c r="O32" i="1"/>
  <c r="M32" i="1"/>
  <c r="AU31" i="1"/>
  <c r="M31" i="1"/>
  <c r="O31" i="1" s="1"/>
  <c r="AU30" i="1"/>
  <c r="O30" i="1"/>
  <c r="M30" i="1"/>
  <c r="AU29" i="1"/>
  <c r="O29" i="1"/>
  <c r="M29" i="1"/>
  <c r="AU28" i="1"/>
  <c r="M28" i="1"/>
  <c r="O28" i="1" s="1"/>
  <c r="AU27" i="1"/>
  <c r="O27" i="1"/>
  <c r="M27" i="1"/>
  <c r="AU26" i="1"/>
  <c r="O26" i="1"/>
  <c r="M26" i="1"/>
  <c r="AU25" i="1"/>
  <c r="M25" i="1"/>
  <c r="O25" i="1" s="1"/>
  <c r="AU24" i="1"/>
  <c r="O24" i="1"/>
  <c r="M24" i="1"/>
  <c r="AU23" i="1"/>
  <c r="O23" i="1"/>
  <c r="M23" i="1"/>
  <c r="AU22" i="1"/>
  <c r="M22" i="1"/>
  <c r="O22" i="1" s="1"/>
  <c r="AU21" i="1"/>
  <c r="M21" i="1"/>
  <c r="O21" i="1" s="1"/>
  <c r="BN20" i="1"/>
  <c r="BN21" i="1" s="1"/>
  <c r="AU20" i="1"/>
  <c r="M20" i="1"/>
  <c r="O20" i="1" s="1"/>
  <c r="BN19" i="1"/>
  <c r="AU19" i="1"/>
  <c r="M19" i="1"/>
  <c r="O19" i="1" s="1"/>
  <c r="AU18" i="1"/>
  <c r="O18" i="1"/>
  <c r="M18" i="1"/>
  <c r="AU17" i="1"/>
  <c r="O17" i="1"/>
  <c r="M17" i="1"/>
  <c r="AU16" i="1"/>
  <c r="M16" i="1"/>
  <c r="O16" i="1" s="1"/>
  <c r="AU15" i="1"/>
  <c r="O15" i="1"/>
  <c r="M15" i="1"/>
  <c r="AU14" i="1"/>
  <c r="O14" i="1"/>
  <c r="M14" i="1"/>
  <c r="AU13" i="1"/>
  <c r="M13" i="1"/>
  <c r="O13" i="1" s="1"/>
  <c r="AU12" i="1"/>
  <c r="O12" i="1"/>
  <c r="M12" i="1"/>
  <c r="AU11" i="1"/>
  <c r="O11" i="1"/>
  <c r="M11" i="1"/>
  <c r="AU10" i="1"/>
  <c r="M10" i="1"/>
  <c r="M95" i="1" s="1"/>
  <c r="AU9" i="1"/>
  <c r="O9" i="1"/>
  <c r="M9" i="1"/>
  <c r="AU8" i="1"/>
  <c r="O8" i="1"/>
  <c r="P8" i="1" s="1"/>
  <c r="P9" i="1" s="1"/>
  <c r="M8" i="1"/>
  <c r="AU7" i="1"/>
  <c r="AU6" i="1"/>
  <c r="AU5" i="1"/>
  <c r="AU95" i="1" s="1"/>
  <c r="BD41" i="1" l="1"/>
  <c r="BJ45" i="1"/>
  <c r="BJ39" i="1"/>
  <c r="P11" i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O10" i="1"/>
  <c r="P10" i="1" s="1"/>
  <c r="O95" i="1"/>
</calcChain>
</file>

<file path=xl/sharedStrings.xml><?xml version="1.0" encoding="utf-8"?>
<sst xmlns="http://schemas.openxmlformats.org/spreadsheetml/2006/main" count="339" uniqueCount="182">
  <si>
    <t>חודש</t>
  </si>
  <si>
    <t>סנדרה</t>
  </si>
  <si>
    <t>אלמוג</t>
  </si>
  <si>
    <t>ולדה</t>
  </si>
  <si>
    <t>ענבל</t>
  </si>
  <si>
    <t>דימה</t>
  </si>
  <si>
    <t>איגור</t>
  </si>
  <si>
    <t>חופית כהן</t>
  </si>
  <si>
    <t>חושן וגל</t>
  </si>
  <si>
    <t>ליטל</t>
  </si>
  <si>
    <t>רוית</t>
  </si>
  <si>
    <t>כללי</t>
  </si>
  <si>
    <t>תשלום</t>
  </si>
  <si>
    <t>עודף</t>
  </si>
  <si>
    <t xml:space="preserve">עודף </t>
  </si>
  <si>
    <t>הערות</t>
  </si>
  <si>
    <t>אפי</t>
  </si>
  <si>
    <t>מיטל</t>
  </si>
  <si>
    <t>ליאור</t>
  </si>
  <si>
    <t>אבישג+אוריה</t>
  </si>
  <si>
    <t>עאמר</t>
  </si>
  <si>
    <t>איתי</t>
  </si>
  <si>
    <t>החזר אמא</t>
  </si>
  <si>
    <t>ארנונה</t>
  </si>
  <si>
    <t>חשמל- 347611048</t>
  </si>
  <si>
    <t xml:space="preserve">מערכת
סולארית </t>
  </si>
  <si>
    <t>מים</t>
  </si>
  <si>
    <t>הופקד</t>
  </si>
  <si>
    <t>דני</t>
  </si>
  <si>
    <t>משכנתא</t>
  </si>
  <si>
    <t>גביה</t>
  </si>
  <si>
    <t>דירה ריקה ללא דיירים</t>
  </si>
  <si>
    <t>1/X</t>
  </si>
  <si>
    <t>10/X</t>
  </si>
  <si>
    <t>6/X</t>
  </si>
  <si>
    <t>28/X</t>
  </si>
  <si>
    <t>בפועל</t>
  </si>
  <si>
    <t>הסכם</t>
  </si>
  <si>
    <t>חודשי</t>
  </si>
  <si>
    <t>מצטבר</t>
  </si>
  <si>
    <t>5/X</t>
  </si>
  <si>
    <t>23/X</t>
  </si>
  <si>
    <t>12/X</t>
  </si>
  <si>
    <t>31/1</t>
  </si>
  <si>
    <t>31/2</t>
  </si>
  <si>
    <t>חיוב(ח.חשמל)</t>
  </si>
  <si>
    <t>גביה(דיירים)</t>
  </si>
  <si>
    <t>חיוב</t>
  </si>
  <si>
    <t>תשלום לאמא</t>
  </si>
  <si>
    <t>7/2022</t>
  </si>
  <si>
    <t>תקופה מחוץ לחוזה</t>
  </si>
  <si>
    <t>8/2022</t>
  </si>
  <si>
    <t>9/2022</t>
  </si>
  <si>
    <t>10/2022</t>
  </si>
  <si>
    <t>11/2022</t>
  </si>
  <si>
    <t>12/2022</t>
  </si>
  <si>
    <t>1/2023</t>
  </si>
  <si>
    <t>2/2023</t>
  </si>
  <si>
    <t>3/2023</t>
  </si>
  <si>
    <t>4/2023</t>
  </si>
  <si>
    <t>5/2023</t>
  </si>
  <si>
    <t xml:space="preserve">כולל ברז שקניתי ב-400 </t>
  </si>
  <si>
    <t>6/2023</t>
  </si>
  <si>
    <t>7/2023</t>
  </si>
  <si>
    <t>8/2023</t>
  </si>
  <si>
    <t>גל ביקש דחיה בשכירות- בגלל סיכסוך פיצויים, עזב את הפיצה ועבר לוולט</t>
  </si>
  <si>
    <t>9//2023</t>
  </si>
  <si>
    <t>9/2023</t>
  </si>
  <si>
    <t>גל התחייב לשלם את החוב ב-10 לספטמבר</t>
  </si>
  <si>
    <t>10/2023</t>
  </si>
  <si>
    <t>11/2023</t>
  </si>
  <si>
    <t>סוכם שבגלל החוב לארנונה לא ישולם לה חודש אחד</t>
  </si>
  <si>
    <t>12/2023</t>
  </si>
  <si>
    <t>1//2024</t>
  </si>
  <si>
    <t>1/2024</t>
  </si>
  <si>
    <t>2/2024</t>
  </si>
  <si>
    <t>3/2024</t>
  </si>
  <si>
    <t>4/2024</t>
  </si>
  <si>
    <t>סוכם עם אמא שלא אשלם החודש- בגלל בעיות עם אפי</t>
  </si>
  <si>
    <t>חוב לאפי כולל שכירות אפריל 10,437</t>
  </si>
  <si>
    <t>5/2024</t>
  </si>
  <si>
    <t>6/2024</t>
  </si>
  <si>
    <t>קניתי מזגן לדימה ~ 1,000 + התקנה ממ"ד ~800 ₪</t>
  </si>
  <si>
    <t>7/2024</t>
  </si>
  <si>
    <t xml:space="preserve"> </t>
  </si>
  <si>
    <t>8/2024</t>
  </si>
  <si>
    <t>9/2024</t>
  </si>
  <si>
    <t>10/2024</t>
  </si>
  <si>
    <t>11/2024</t>
  </si>
  <si>
    <t>12/2024</t>
  </si>
  <si>
    <t>חוב גל וחושן 2,260</t>
  </si>
  <si>
    <t>1//2025</t>
  </si>
  <si>
    <t>2/2025</t>
  </si>
  <si>
    <t>חוב גל וחושן 1,960</t>
  </si>
  <si>
    <t>3/2025</t>
  </si>
  <si>
    <t>חוב גל וחושן 1,160</t>
  </si>
  <si>
    <t>חשמל</t>
  </si>
  <si>
    <t>4/2025</t>
  </si>
  <si>
    <t xml:space="preserve">              </t>
  </si>
  <si>
    <t>קניתי ב-11.4.25 מזגן HAIR 1.25 לליטל</t>
  </si>
  <si>
    <t>שנה</t>
  </si>
  <si>
    <t>כתובת</t>
  </si>
  <si>
    <t>שערוך</t>
  </si>
  <si>
    <t>לחודשיים</t>
  </si>
  <si>
    <t>שנתי</t>
  </si>
  <si>
    <t>גביה[אג']</t>
  </si>
  <si>
    <t>סך קבוע [₪]</t>
  </si>
  <si>
    <t>מחיר לקוט"ש</t>
  </si>
  <si>
    <t>KVA</t>
  </si>
  <si>
    <t>קבוע</t>
  </si>
  <si>
    <t>שערוך(לפי8:2)</t>
  </si>
  <si>
    <r>
      <t xml:space="preserve">14&gt; </t>
    </r>
    <r>
      <rPr>
        <sz val="11"/>
        <color indexed="10"/>
        <rFont val="Arial"/>
        <family val="2"/>
      </rPr>
      <t>/</t>
    </r>
    <r>
      <rPr>
        <sz val="11"/>
        <color indexed="62"/>
        <rFont val="Arial"/>
        <family val="2"/>
      </rPr>
      <t xml:space="preserve"> &lt;14</t>
    </r>
  </si>
  <si>
    <t>5/2025</t>
  </si>
  <si>
    <t>אלמוג חתמה חוזה ושלמה חודש ראשון בתאריך 16/5/25</t>
  </si>
  <si>
    <t>2023</t>
  </si>
  <si>
    <t>טרומפלדור 31/1</t>
  </si>
  <si>
    <t>6/2025</t>
  </si>
  <si>
    <t>טרומפלדור 31/2</t>
  </si>
  <si>
    <t>7/2025</t>
  </si>
  <si>
    <t>העברתי לדני(אבא של אלמוג) 700 ₪ השתתפות בחומרים,לטענתו שילם 1400 חומרים ו-2000 צבעי + 800 ₪ תאורה וברז מטבח</t>
  </si>
  <si>
    <t>2024</t>
  </si>
  <si>
    <t>8/2025</t>
  </si>
  <si>
    <t>רווית שלמה חוב סופי 600 ₪ מזומן בתאריך 6/8/2025</t>
  </si>
  <si>
    <t>9/2025</t>
  </si>
  <si>
    <t>10/2025</t>
  </si>
  <si>
    <t>11/2025</t>
  </si>
  <si>
    <t>2026</t>
  </si>
  <si>
    <t>12/2025</t>
  </si>
  <si>
    <t>1/2026</t>
  </si>
  <si>
    <t>חתמתי חוזה עם ולדה - 3,775 מתאריך 1.2.26 עד 1.2.27</t>
  </si>
  <si>
    <t>2027</t>
  </si>
  <si>
    <t>טרומפלדור 31/3</t>
  </si>
  <si>
    <t>2/2026</t>
  </si>
  <si>
    <t>קניה של חומר תרסיסי איטום- 6 תרסיסים 270 ₪ - לטיפול ברטיבות בדירה של אבישג, סגרתי מסלול P+1 במשכנתא 93,279</t>
  </si>
  <si>
    <t>טרומפלדור 31/4</t>
  </si>
  <si>
    <t>3/2026</t>
  </si>
  <si>
    <t>4/2026</t>
  </si>
  <si>
    <t>5/2026</t>
  </si>
  <si>
    <t>6/2026</t>
  </si>
  <si>
    <t>7/2026</t>
  </si>
  <si>
    <t>8/2026</t>
  </si>
  <si>
    <t>9/2026</t>
  </si>
  <si>
    <t>10/2026</t>
  </si>
  <si>
    <t>11/2026</t>
  </si>
  <si>
    <t>12/2026</t>
  </si>
  <si>
    <t>1/2027</t>
  </si>
  <si>
    <t>2/2027</t>
  </si>
  <si>
    <t>3/2027</t>
  </si>
  <si>
    <t>4/2027</t>
  </si>
  <si>
    <t>5/2027</t>
  </si>
  <si>
    <t>6/2027</t>
  </si>
  <si>
    <t>7/2027</t>
  </si>
  <si>
    <t>8/2027</t>
  </si>
  <si>
    <t>9/2027</t>
  </si>
  <si>
    <t>10/2027</t>
  </si>
  <si>
    <t>11/2027</t>
  </si>
  <si>
    <t>12/2027</t>
  </si>
  <si>
    <t>1/2028</t>
  </si>
  <si>
    <t>2/2028</t>
  </si>
  <si>
    <t>3/2028</t>
  </si>
  <si>
    <t>4/2028</t>
  </si>
  <si>
    <t>5/2028</t>
  </si>
  <si>
    <t>6/2028</t>
  </si>
  <si>
    <t>7/2028</t>
  </si>
  <si>
    <t>8/2028</t>
  </si>
  <si>
    <t>9/2028</t>
  </si>
  <si>
    <t>10/2028</t>
  </si>
  <si>
    <t>11/2028</t>
  </si>
  <si>
    <t>12/2028</t>
  </si>
  <si>
    <t>1/2029</t>
  </si>
  <si>
    <t>2/2029</t>
  </si>
  <si>
    <t>3/2029</t>
  </si>
  <si>
    <t>4/2029</t>
  </si>
  <si>
    <t>5/2029</t>
  </si>
  <si>
    <t>6/2029</t>
  </si>
  <si>
    <t>7/2029</t>
  </si>
  <si>
    <t>8/2029</t>
  </si>
  <si>
    <t>9/2029</t>
  </si>
  <si>
    <t>10/2029</t>
  </si>
  <si>
    <t>11/2029</t>
  </si>
  <si>
    <t>12/2029</t>
  </si>
  <si>
    <t>סכום עודף ששולם לאבא ואמא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</si>
</sst>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23" x14ac:knownFonts="1">
    <font>
      <sz val="10"/>
      <name val="MS Sans Serif"/>
      <charset val="177"/>
    </font>
    <font>
      <b/>
      <sz val="10"/>
      <name val="Arial"/>
      <family val="2"/>
      <charset val="177"/>
    </font>
    <font>
      <b/>
      <i/>
      <sz val="16"/>
      <color theme="3"/>
      <name val="Arial"/>
      <family val="2"/>
    </font>
    <font>
      <b/>
      <i/>
      <sz val="9"/>
      <color theme="4" tint="-0.249977111117893"/>
      <name val="Arial"/>
      <family val="2"/>
      <charset val="177"/>
    </font>
    <font>
      <b/>
      <sz val="9"/>
      <color theme="4" tint="-0.249977111117893"/>
      <name val="Arial"/>
      <family val="2"/>
      <charset val="177"/>
    </font>
    <font>
      <b/>
      <sz val="10"/>
      <color theme="4" tint="-0.249977111117893"/>
      <name val="Arial"/>
      <family val="2"/>
      <charset val="177"/>
    </font>
    <font>
      <sz val="10"/>
      <color theme="4" tint="-0.249977111117893"/>
      <name val="Arial"/>
      <family val="2"/>
    </font>
    <font>
      <sz val="10"/>
      <name val="MS Sans Serif"/>
      <family val="2"/>
      <charset val="177"/>
    </font>
    <font>
      <sz val="10"/>
      <color rgb="FFFF0000"/>
      <name val="Arial"/>
      <family val="2"/>
    </font>
    <font>
      <sz val="10"/>
      <name val="Arial"/>
      <family val="2"/>
    </font>
    <font>
      <sz val="10"/>
      <color theme="3"/>
      <name val="Arial"/>
      <family val="2"/>
    </font>
    <font>
      <sz val="11"/>
      <color rgb="FF9C6500"/>
      <name val="Arial"/>
      <family val="2"/>
      <charset val="177"/>
      <scheme val="minor"/>
    </font>
    <font>
      <sz val="11"/>
      <color rgb="FF9C6500"/>
      <name val="Arial"/>
      <family val="2"/>
      <scheme val="minor"/>
    </font>
    <font>
      <sz val="10"/>
      <color theme="0" tint="-0.249977111117893"/>
      <name val="Arial"/>
      <family val="2"/>
    </font>
    <font>
      <i/>
      <sz val="12"/>
      <color rgb="FFFF0000"/>
      <name val="Arial"/>
      <family val="2"/>
    </font>
    <font>
      <sz val="11"/>
      <color theme="3"/>
      <name val="Arial"/>
      <family val="2"/>
    </font>
    <font>
      <sz val="11"/>
      <color indexed="10"/>
      <name val="Arial"/>
      <family val="2"/>
    </font>
    <font>
      <sz val="11"/>
      <color indexed="62"/>
      <name val="Arial"/>
      <family val="2"/>
    </font>
    <font>
      <sz val="14"/>
      <name val="Arial"/>
      <family val="2"/>
    </font>
    <font>
      <sz val="14"/>
      <color rgb="FF00B050"/>
      <name val="Arial"/>
      <family val="2"/>
    </font>
    <font>
      <sz val="14"/>
      <color theme="9" tint="-0.249977111117893"/>
      <name val="Arial"/>
      <family val="2"/>
    </font>
    <font>
      <i/>
      <sz val="10"/>
      <color theme="4" tint="-0.249977111117893"/>
      <name val="Arial"/>
      <family val="2"/>
    </font>
    <font>
      <b/>
      <sz val="10"/>
      <color rgb="FFFF0000"/>
      <name val="Arial"/>
      <family val="2"/>
      <charset val="177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 applyFont="0"/>
    <xf numFmtId="40" fontId="7" fillId="0" borderId="0" applyFont="0" applyFill="0" applyBorder="0" applyAlignment="0" applyProtection="0"/>
    <xf numFmtId="0" fontId="11" fillId="2" borderId="0" applyNumberFormat="0" applyBorder="0" applyAlignment="0" applyProtection="0"/>
  </cellStyleXfs>
  <cellXfs count="352">
    <xf numFmtId="0" fontId="0" fillId="0" borderId="0" xfId="0"/>
    <xf numFmtId="14" fontId="1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4" fontId="3" fillId="6" borderId="5" xfId="0" applyNumberFormat="1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14" fontId="3" fillId="4" borderId="7" xfId="0" applyNumberFormat="1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3" fillId="6" borderId="11" xfId="0" applyNumberFormat="1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14" fontId="3" fillId="4" borderId="5" xfId="0" applyNumberFormat="1" applyFont="1" applyFill="1" applyBorder="1" applyAlignment="1">
      <alignment horizontal="center" vertical="center"/>
    </xf>
    <xf numFmtId="14" fontId="3" fillId="4" borderId="6" xfId="0" applyNumberFormat="1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6" borderId="15" xfId="0" applyNumberFormat="1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4" fontId="3" fillId="4" borderId="17" xfId="0" applyNumberFormat="1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14" fontId="3" fillId="6" borderId="20" xfId="0" applyNumberFormat="1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14" fontId="3" fillId="4" borderId="27" xfId="0" applyNumberFormat="1" applyFont="1" applyFill="1" applyBorder="1" applyAlignment="1">
      <alignment horizontal="center" vertical="center"/>
    </xf>
    <xf numFmtId="14" fontId="3" fillId="4" borderId="24" xfId="0" applyNumberFormat="1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6" borderId="30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3" fillId="6" borderId="31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 wrapText="1"/>
    </xf>
    <xf numFmtId="0" fontId="3" fillId="7" borderId="30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49" fontId="6" fillId="10" borderId="33" xfId="0" applyNumberFormat="1" applyFont="1" applyFill="1" applyBorder="1" applyAlignment="1">
      <alignment horizontal="center"/>
    </xf>
    <xf numFmtId="38" fontId="6" fillId="5" borderId="12" xfId="1" applyNumberFormat="1" applyFont="1" applyFill="1" applyBorder="1" applyAlignment="1">
      <alignment horizontal="center"/>
    </xf>
    <xf numFmtId="38" fontId="6" fillId="5" borderId="8" xfId="1" applyNumberFormat="1" applyFont="1" applyFill="1" applyBorder="1" applyAlignment="1">
      <alignment horizontal="center"/>
    </xf>
    <xf numFmtId="38" fontId="6" fillId="5" borderId="13" xfId="1" applyNumberFormat="1" applyFont="1" applyFill="1" applyBorder="1" applyAlignment="1">
      <alignment horizontal="center"/>
    </xf>
    <xf numFmtId="38" fontId="6" fillId="4" borderId="34" xfId="1" applyNumberFormat="1" applyFont="1" applyFill="1" applyBorder="1" applyAlignment="1">
      <alignment horizontal="center"/>
    </xf>
    <xf numFmtId="38" fontId="6" fillId="4" borderId="13" xfId="1" applyNumberFormat="1" applyFont="1" applyFill="1" applyBorder="1" applyAlignment="1">
      <alignment horizontal="center"/>
    </xf>
    <xf numFmtId="38" fontId="6" fillId="5" borderId="35" xfId="1" applyNumberFormat="1" applyFont="1" applyFill="1" applyBorder="1" applyAlignment="1">
      <alignment horizontal="center"/>
    </xf>
    <xf numFmtId="38" fontId="6" fillId="4" borderId="12" xfId="1" applyNumberFormat="1" applyFont="1" applyFill="1" applyBorder="1" applyAlignment="1">
      <alignment horizontal="center"/>
    </xf>
    <xf numFmtId="38" fontId="6" fillId="4" borderId="36" xfId="1" applyNumberFormat="1" applyFont="1" applyFill="1" applyBorder="1" applyAlignment="1">
      <alignment horizontal="center"/>
    </xf>
    <xf numFmtId="38" fontId="6" fillId="5" borderId="37" xfId="1" applyNumberFormat="1" applyFont="1" applyFill="1" applyBorder="1" applyAlignment="1">
      <alignment horizontal="center"/>
    </xf>
    <xf numFmtId="38" fontId="6" fillId="11" borderId="35" xfId="1" applyNumberFormat="1" applyFont="1" applyFill="1" applyBorder="1" applyAlignment="1">
      <alignment horizontal="center"/>
    </xf>
    <xf numFmtId="38" fontId="6" fillId="7" borderId="6" xfId="1" applyNumberFormat="1" applyFont="1" applyFill="1" applyBorder="1" applyAlignment="1">
      <alignment horizontal="center"/>
    </xf>
    <xf numFmtId="38" fontId="6" fillId="11" borderId="38" xfId="1" applyNumberFormat="1" applyFont="1" applyFill="1" applyBorder="1" applyAlignment="1">
      <alignment horizontal="center"/>
    </xf>
    <xf numFmtId="0" fontId="6" fillId="11" borderId="38" xfId="0" applyFont="1" applyFill="1" applyBorder="1"/>
    <xf numFmtId="0" fontId="6" fillId="0" borderId="0" xfId="0" applyFont="1"/>
    <xf numFmtId="49" fontId="6" fillId="10" borderId="5" xfId="0" applyNumberFormat="1" applyFont="1" applyFill="1" applyBorder="1" applyAlignment="1">
      <alignment horizontal="center"/>
    </xf>
    <xf numFmtId="38" fontId="6" fillId="5" borderId="36" xfId="1" applyNumberFormat="1" applyFont="1" applyFill="1" applyBorder="1" applyAlignment="1">
      <alignment horizontal="center"/>
    </xf>
    <xf numFmtId="38" fontId="6" fillId="5" borderId="39" xfId="1" applyNumberFormat="1" applyFont="1" applyFill="1" applyBorder="1" applyAlignment="1">
      <alignment horizontal="center"/>
    </xf>
    <xf numFmtId="38" fontId="6" fillId="5" borderId="34" xfId="1" applyNumberFormat="1" applyFont="1" applyFill="1" applyBorder="1" applyAlignment="1">
      <alignment horizontal="center"/>
    </xf>
    <xf numFmtId="38" fontId="6" fillId="5" borderId="7" xfId="1" applyNumberFormat="1" applyFont="1" applyFill="1" applyBorder="1" applyAlignment="1">
      <alignment horizontal="center"/>
    </xf>
    <xf numFmtId="38" fontId="6" fillId="11" borderId="7" xfId="1" applyNumberFormat="1" applyFont="1" applyFill="1" applyBorder="1" applyAlignment="1">
      <alignment horizontal="center"/>
    </xf>
    <xf numFmtId="38" fontId="6" fillId="11" borderId="6" xfId="1" applyNumberFormat="1" applyFont="1" applyFill="1" applyBorder="1" applyAlignment="1">
      <alignment horizontal="center"/>
    </xf>
    <xf numFmtId="38" fontId="6" fillId="10" borderId="12" xfId="1" applyNumberFormat="1" applyFont="1" applyFill="1" applyBorder="1" applyAlignment="1">
      <alignment horizontal="center"/>
    </xf>
    <xf numFmtId="38" fontId="6" fillId="10" borderId="13" xfId="1" applyNumberFormat="1" applyFont="1" applyFill="1" applyBorder="1" applyAlignment="1">
      <alignment horizontal="center"/>
    </xf>
    <xf numFmtId="38" fontId="6" fillId="10" borderId="8" xfId="1" applyNumberFormat="1" applyFont="1" applyFill="1" applyBorder="1" applyAlignment="1">
      <alignment horizontal="center"/>
    </xf>
    <xf numFmtId="38" fontId="6" fillId="10" borderId="6" xfId="1" applyNumberFormat="1" applyFont="1" applyFill="1" applyBorder="1" applyAlignment="1">
      <alignment horizontal="center"/>
    </xf>
    <xf numFmtId="38" fontId="6" fillId="10" borderId="37" xfId="1" applyNumberFormat="1" applyFont="1" applyFill="1" applyBorder="1" applyAlignment="1">
      <alignment horizontal="center"/>
    </xf>
    <xf numFmtId="38" fontId="6" fillId="7" borderId="37" xfId="1" applyNumberFormat="1" applyFont="1" applyFill="1" applyBorder="1" applyAlignment="1">
      <alignment horizontal="center"/>
    </xf>
    <xf numFmtId="0" fontId="6" fillId="10" borderId="33" xfId="0" applyFont="1" applyFill="1" applyBorder="1"/>
    <xf numFmtId="40" fontId="8" fillId="10" borderId="7" xfId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9" fillId="10" borderId="0" xfId="0" applyFont="1" applyFill="1"/>
    <xf numFmtId="0" fontId="9" fillId="0" borderId="0" xfId="0" applyFont="1" applyAlignment="1">
      <alignment horizontal="center"/>
    </xf>
    <xf numFmtId="49" fontId="6" fillId="10" borderId="40" xfId="0" applyNumberFormat="1" applyFont="1" applyFill="1" applyBorder="1" applyAlignment="1">
      <alignment horizontal="center"/>
    </xf>
    <xf numFmtId="38" fontId="6" fillId="5" borderId="41" xfId="1" applyNumberFormat="1" applyFont="1" applyFill="1" applyBorder="1" applyAlignment="1">
      <alignment horizontal="center"/>
    </xf>
    <xf numFmtId="38" fontId="6" fillId="5" borderId="42" xfId="1" applyNumberFormat="1" applyFont="1" applyFill="1" applyBorder="1" applyAlignment="1">
      <alignment horizontal="center"/>
    </xf>
    <xf numFmtId="38" fontId="6" fillId="5" borderId="43" xfId="1" applyNumberFormat="1" applyFont="1" applyFill="1" applyBorder="1" applyAlignment="1">
      <alignment horizontal="center"/>
    </xf>
    <xf numFmtId="38" fontId="6" fillId="4" borderId="44" xfId="1" applyNumberFormat="1" applyFont="1" applyFill="1" applyBorder="1" applyAlignment="1">
      <alignment horizontal="center"/>
    </xf>
    <xf numFmtId="38" fontId="6" fillId="4" borderId="43" xfId="1" applyNumberFormat="1" applyFont="1" applyFill="1" applyBorder="1" applyAlignment="1">
      <alignment horizontal="center"/>
    </xf>
    <xf numFmtId="38" fontId="6" fillId="4" borderId="41" xfId="1" applyNumberFormat="1" applyFont="1" applyFill="1" applyBorder="1" applyAlignment="1">
      <alignment horizontal="center"/>
    </xf>
    <xf numFmtId="38" fontId="6" fillId="4" borderId="45" xfId="1" applyNumberFormat="1" applyFont="1" applyFill="1" applyBorder="1" applyAlignment="1">
      <alignment horizontal="center"/>
    </xf>
    <xf numFmtId="38" fontId="6" fillId="7" borderId="46" xfId="1" applyNumberFormat="1" applyFont="1" applyFill="1" applyBorder="1" applyAlignment="1">
      <alignment horizontal="center"/>
    </xf>
    <xf numFmtId="38" fontId="6" fillId="5" borderId="45" xfId="1" applyNumberFormat="1" applyFont="1" applyFill="1" applyBorder="1" applyAlignment="1">
      <alignment horizontal="center"/>
    </xf>
    <xf numFmtId="38" fontId="6" fillId="5" borderId="47" xfId="1" applyNumberFormat="1" applyFont="1" applyFill="1" applyBorder="1" applyAlignment="1">
      <alignment horizontal="center"/>
    </xf>
    <xf numFmtId="38" fontId="6" fillId="5" borderId="48" xfId="1" applyNumberFormat="1" applyFont="1" applyFill="1" applyBorder="1" applyAlignment="1">
      <alignment horizontal="center"/>
    </xf>
    <xf numFmtId="38" fontId="6" fillId="5" borderId="49" xfId="1" applyNumberFormat="1" applyFont="1" applyFill="1" applyBorder="1" applyAlignment="1">
      <alignment horizontal="center"/>
    </xf>
    <xf numFmtId="38" fontId="6" fillId="11" borderId="37" xfId="1" applyNumberFormat="1" applyFont="1" applyFill="1" applyBorder="1" applyAlignment="1">
      <alignment horizontal="center"/>
    </xf>
    <xf numFmtId="40" fontId="6" fillId="10" borderId="41" xfId="1" applyFont="1" applyFill="1" applyBorder="1" applyAlignment="1">
      <alignment horizontal="center"/>
    </xf>
    <xf numFmtId="40" fontId="6" fillId="10" borderId="43" xfId="1" applyFont="1" applyFill="1" applyBorder="1" applyAlignment="1">
      <alignment horizontal="center"/>
    </xf>
    <xf numFmtId="40" fontId="6" fillId="10" borderId="42" xfId="1" applyFont="1" applyFill="1" applyBorder="1" applyAlignment="1">
      <alignment horizontal="center"/>
    </xf>
    <xf numFmtId="40" fontId="6" fillId="10" borderId="46" xfId="1" applyFont="1" applyFill="1" applyBorder="1" applyAlignment="1">
      <alignment horizontal="center"/>
    </xf>
    <xf numFmtId="38" fontId="6" fillId="10" borderId="38" xfId="1" applyNumberFormat="1" applyFont="1" applyFill="1" applyBorder="1" applyAlignment="1">
      <alignment horizontal="center"/>
    </xf>
    <xf numFmtId="40" fontId="8" fillId="10" borderId="50" xfId="1" applyFont="1" applyFill="1" applyBorder="1" applyAlignment="1">
      <alignment horizontal="center"/>
    </xf>
    <xf numFmtId="0" fontId="6" fillId="12" borderId="0" xfId="0" applyFont="1" applyFill="1" applyAlignment="1">
      <alignment horizontal="center"/>
    </xf>
    <xf numFmtId="38" fontId="6" fillId="5" borderId="50" xfId="1" applyNumberFormat="1" applyFont="1" applyFill="1" applyBorder="1" applyAlignment="1">
      <alignment horizontal="center"/>
    </xf>
    <xf numFmtId="38" fontId="6" fillId="11" borderId="42" xfId="1" applyNumberFormat="1" applyFont="1" applyFill="1" applyBorder="1" applyAlignment="1">
      <alignment horizontal="center"/>
    </xf>
    <xf numFmtId="38" fontId="6" fillId="11" borderId="46" xfId="1" applyNumberFormat="1" applyFont="1" applyFill="1" applyBorder="1" applyAlignment="1">
      <alignment horizontal="center"/>
    </xf>
    <xf numFmtId="0" fontId="6" fillId="11" borderId="46" xfId="0" applyFont="1" applyFill="1" applyBorder="1"/>
    <xf numFmtId="49" fontId="6" fillId="0" borderId="33" xfId="0" applyNumberFormat="1" applyFont="1" applyBorder="1" applyAlignment="1">
      <alignment horizontal="center"/>
    </xf>
    <xf numFmtId="38" fontId="6" fillId="0" borderId="44" xfId="1" applyNumberFormat="1" applyFont="1" applyBorder="1" applyAlignment="1">
      <alignment horizontal="center"/>
    </xf>
    <xf numFmtId="38" fontId="6" fillId="0" borderId="35" xfId="1" applyNumberFormat="1" applyFont="1" applyBorder="1" applyAlignment="1">
      <alignment horizontal="center"/>
    </xf>
    <xf numFmtId="38" fontId="6" fillId="0" borderId="41" xfId="1" applyNumberFormat="1" applyFont="1" applyBorder="1" applyAlignment="1">
      <alignment horizontal="center"/>
    </xf>
    <xf numFmtId="38" fontId="6" fillId="0" borderId="37" xfId="1" applyNumberFormat="1" applyFont="1" applyBorder="1" applyAlignment="1">
      <alignment horizontal="center"/>
    </xf>
    <xf numFmtId="38" fontId="6" fillId="0" borderId="38" xfId="1" applyNumberFormat="1" applyFont="1" applyBorder="1" applyAlignment="1">
      <alignment horizontal="center"/>
    </xf>
    <xf numFmtId="0" fontId="6" fillId="0" borderId="38" xfId="0" applyFont="1" applyBorder="1"/>
    <xf numFmtId="49" fontId="6" fillId="12" borderId="33" xfId="0" applyNumberFormat="1" applyFont="1" applyFill="1" applyBorder="1" applyAlignment="1">
      <alignment horizontal="center"/>
    </xf>
    <xf numFmtId="38" fontId="6" fillId="12" borderId="41" xfId="1" applyNumberFormat="1" applyFont="1" applyFill="1" applyBorder="1" applyAlignment="1">
      <alignment horizontal="center"/>
    </xf>
    <xf numFmtId="38" fontId="6" fillId="12" borderId="45" xfId="1" applyNumberFormat="1" applyFont="1" applyFill="1" applyBorder="1" applyAlignment="1">
      <alignment horizontal="center"/>
    </xf>
    <xf numFmtId="38" fontId="6" fillId="9" borderId="41" xfId="1" applyNumberFormat="1" applyFont="1" applyFill="1" applyBorder="1" applyAlignment="1">
      <alignment horizontal="center"/>
    </xf>
    <xf numFmtId="38" fontId="6" fillId="12" borderId="35" xfId="1" applyNumberFormat="1" applyFont="1" applyFill="1" applyBorder="1" applyAlignment="1">
      <alignment horizontal="center"/>
    </xf>
    <xf numFmtId="38" fontId="6" fillId="12" borderId="44" xfId="1" applyNumberFormat="1" applyFont="1" applyFill="1" applyBorder="1" applyAlignment="1">
      <alignment horizontal="center"/>
    </xf>
    <xf numFmtId="38" fontId="6" fillId="12" borderId="43" xfId="1" applyNumberFormat="1" applyFont="1" applyFill="1" applyBorder="1" applyAlignment="1">
      <alignment horizontal="center"/>
    </xf>
    <xf numFmtId="38" fontId="6" fillId="12" borderId="37" xfId="1" applyNumberFormat="1" applyFont="1" applyFill="1" applyBorder="1" applyAlignment="1">
      <alignment horizontal="center"/>
    </xf>
    <xf numFmtId="38" fontId="6" fillId="12" borderId="38" xfId="1" applyNumberFormat="1" applyFont="1" applyFill="1" applyBorder="1" applyAlignment="1">
      <alignment horizontal="center"/>
    </xf>
    <xf numFmtId="40" fontId="6" fillId="12" borderId="41" xfId="1" applyFont="1" applyFill="1" applyBorder="1" applyAlignment="1">
      <alignment horizontal="center"/>
    </xf>
    <xf numFmtId="40" fontId="6" fillId="12" borderId="43" xfId="1" applyFont="1" applyFill="1" applyBorder="1" applyAlignment="1">
      <alignment horizontal="center"/>
    </xf>
    <xf numFmtId="40" fontId="6" fillId="12" borderId="42" xfId="1" applyFont="1" applyFill="1" applyBorder="1" applyAlignment="1">
      <alignment horizontal="center"/>
    </xf>
    <xf numFmtId="40" fontId="6" fillId="12" borderId="46" xfId="1" applyFont="1" applyFill="1" applyBorder="1" applyAlignment="1">
      <alignment horizontal="center"/>
    </xf>
    <xf numFmtId="0" fontId="6" fillId="12" borderId="33" xfId="0" applyFont="1" applyFill="1" applyBorder="1"/>
    <xf numFmtId="40" fontId="10" fillId="12" borderId="50" xfId="1" applyFont="1" applyFill="1" applyBorder="1" applyAlignment="1">
      <alignment horizontal="center"/>
    </xf>
    <xf numFmtId="49" fontId="6" fillId="0" borderId="40" xfId="0" applyNumberFormat="1" applyFont="1" applyBorder="1" applyAlignment="1">
      <alignment horizontal="center"/>
    </xf>
    <xf numFmtId="38" fontId="6" fillId="0" borderId="42" xfId="1" applyNumberFormat="1" applyFont="1" applyBorder="1" applyAlignment="1">
      <alignment horizontal="center"/>
    </xf>
    <xf numFmtId="38" fontId="6" fillId="0" borderId="50" xfId="1" applyNumberFormat="1" applyFont="1" applyBorder="1" applyAlignment="1">
      <alignment horizontal="center"/>
    </xf>
    <xf numFmtId="38" fontId="6" fillId="0" borderId="46" xfId="1" applyNumberFormat="1" applyFont="1" applyBorder="1" applyAlignment="1">
      <alignment horizontal="center"/>
    </xf>
    <xf numFmtId="0" fontId="6" fillId="0" borderId="46" xfId="0" applyFont="1" applyBorder="1"/>
    <xf numFmtId="38" fontId="6" fillId="0" borderId="45" xfId="1" applyNumberFormat="1" applyFont="1" applyBorder="1" applyAlignment="1">
      <alignment horizontal="center"/>
    </xf>
    <xf numFmtId="38" fontId="6" fillId="13" borderId="43" xfId="1" applyNumberFormat="1" applyFont="1" applyFill="1" applyBorder="1" applyAlignment="1">
      <alignment horizontal="center"/>
    </xf>
    <xf numFmtId="40" fontId="6" fillId="0" borderId="41" xfId="1" applyFont="1" applyFill="1" applyBorder="1" applyAlignment="1">
      <alignment horizontal="center"/>
    </xf>
    <xf numFmtId="40" fontId="6" fillId="0" borderId="43" xfId="1" applyFont="1" applyFill="1" applyBorder="1" applyAlignment="1">
      <alignment horizontal="center"/>
    </xf>
    <xf numFmtId="40" fontId="6" fillId="0" borderId="42" xfId="1" applyFont="1" applyFill="1" applyBorder="1" applyAlignment="1">
      <alignment horizontal="center"/>
    </xf>
    <xf numFmtId="40" fontId="6" fillId="0" borderId="46" xfId="1" applyFont="1" applyFill="1" applyBorder="1" applyAlignment="1">
      <alignment horizontal="center"/>
    </xf>
    <xf numFmtId="0" fontId="6" fillId="0" borderId="40" xfId="0" applyFont="1" applyBorder="1"/>
    <xf numFmtId="14" fontId="9" fillId="0" borderId="0" xfId="0" applyNumberFormat="1" applyFont="1" applyAlignment="1">
      <alignment horizontal="center"/>
    </xf>
    <xf numFmtId="0" fontId="9" fillId="0" borderId="0" xfId="0" applyFont="1"/>
    <xf numFmtId="49" fontId="6" fillId="12" borderId="40" xfId="0" applyNumberFormat="1" applyFont="1" applyFill="1" applyBorder="1" applyAlignment="1">
      <alignment horizontal="center"/>
    </xf>
    <xf numFmtId="38" fontId="6" fillId="12" borderId="46" xfId="1" applyNumberFormat="1" applyFont="1" applyFill="1" applyBorder="1" applyAlignment="1">
      <alignment horizontal="center"/>
    </xf>
    <xf numFmtId="0" fontId="6" fillId="12" borderId="40" xfId="0" applyFont="1" applyFill="1" applyBorder="1"/>
    <xf numFmtId="38" fontId="8" fillId="12" borderId="41" xfId="1" applyNumberFormat="1" applyFont="1" applyFill="1" applyBorder="1" applyAlignment="1">
      <alignment horizontal="center"/>
    </xf>
    <xf numFmtId="38" fontId="6" fillId="9" borderId="45" xfId="1" applyNumberFormat="1" applyFont="1" applyFill="1" applyBorder="1" applyAlignment="1">
      <alignment horizontal="center"/>
    </xf>
    <xf numFmtId="38" fontId="6" fillId="12" borderId="50" xfId="1" applyNumberFormat="1" applyFont="1" applyFill="1" applyBorder="1" applyAlignment="1">
      <alignment horizontal="center"/>
    </xf>
    <xf numFmtId="38" fontId="6" fillId="12" borderId="42" xfId="1" applyNumberFormat="1" applyFont="1" applyFill="1" applyBorder="1" applyAlignment="1">
      <alignment horizontal="center"/>
    </xf>
    <xf numFmtId="40" fontId="6" fillId="12" borderId="21" xfId="1" applyFont="1" applyFill="1" applyBorder="1" applyAlignment="1">
      <alignment horizontal="center" vertical="center"/>
    </xf>
    <xf numFmtId="38" fontId="10" fillId="0" borderId="44" xfId="1" applyNumberFormat="1" applyFont="1" applyBorder="1" applyAlignment="1">
      <alignment horizontal="center"/>
    </xf>
    <xf numFmtId="38" fontId="10" fillId="0" borderId="42" xfId="1" applyNumberFormat="1" applyFont="1" applyBorder="1" applyAlignment="1">
      <alignment horizontal="center"/>
    </xf>
    <xf numFmtId="38" fontId="10" fillId="0" borderId="41" xfId="1" applyNumberFormat="1" applyFont="1" applyBorder="1" applyAlignment="1">
      <alignment horizontal="center"/>
    </xf>
    <xf numFmtId="38" fontId="6" fillId="0" borderId="45" xfId="1" applyNumberFormat="1" applyFont="1" applyFill="1" applyBorder="1" applyAlignment="1">
      <alignment horizontal="center"/>
    </xf>
    <xf numFmtId="38" fontId="10" fillId="5" borderId="45" xfId="1" applyNumberFormat="1" applyFont="1" applyFill="1" applyBorder="1" applyAlignment="1">
      <alignment horizontal="center"/>
    </xf>
    <xf numFmtId="38" fontId="8" fillId="5" borderId="45" xfId="1" applyNumberFormat="1" applyFont="1" applyFill="1" applyBorder="1" applyAlignment="1">
      <alignment horizontal="center"/>
    </xf>
    <xf numFmtId="38" fontId="8" fillId="5" borderId="47" xfId="1" applyNumberFormat="1" applyFont="1" applyFill="1" applyBorder="1" applyAlignment="1">
      <alignment horizontal="center"/>
    </xf>
    <xf numFmtId="38" fontId="10" fillId="9" borderId="41" xfId="1" applyNumberFormat="1" applyFont="1" applyFill="1" applyBorder="1" applyAlignment="1">
      <alignment horizontal="center"/>
    </xf>
    <xf numFmtId="38" fontId="10" fillId="4" borderId="45" xfId="1" applyNumberFormat="1" applyFont="1" applyFill="1" applyBorder="1" applyAlignment="1">
      <alignment horizontal="center"/>
    </xf>
    <xf numFmtId="38" fontId="8" fillId="9" borderId="42" xfId="1" applyNumberFormat="1" applyFont="1" applyFill="1" applyBorder="1" applyAlignment="1">
      <alignment horizontal="center"/>
    </xf>
    <xf numFmtId="38" fontId="10" fillId="4" borderId="41" xfId="1" applyNumberFormat="1" applyFont="1" applyFill="1" applyBorder="1" applyAlignment="1">
      <alignment horizontal="center"/>
    </xf>
    <xf numFmtId="38" fontId="10" fillId="0" borderId="45" xfId="1" applyNumberFormat="1" applyFont="1" applyBorder="1" applyAlignment="1">
      <alignment horizontal="center"/>
    </xf>
    <xf numFmtId="40" fontId="12" fillId="0" borderId="41" xfId="2" applyNumberFormat="1" applyFont="1" applyFill="1" applyBorder="1" applyAlignment="1">
      <alignment horizontal="center"/>
    </xf>
    <xf numFmtId="40" fontId="6" fillId="12" borderId="51" xfId="1" applyFont="1" applyFill="1" applyBorder="1" applyAlignment="1">
      <alignment horizontal="center" vertical="center"/>
    </xf>
    <xf numFmtId="38" fontId="6" fillId="9" borderId="42" xfId="1" applyNumberFormat="1" applyFont="1" applyFill="1" applyBorder="1" applyAlignment="1">
      <alignment horizontal="center"/>
    </xf>
    <xf numFmtId="40" fontId="6" fillId="12" borderId="52" xfId="1" applyFont="1" applyFill="1" applyBorder="1" applyAlignment="1">
      <alignment horizontal="center" vertical="center"/>
    </xf>
    <xf numFmtId="38" fontId="13" fillId="12" borderId="38" xfId="1" applyNumberFormat="1" applyFont="1" applyFill="1" applyBorder="1" applyAlignment="1">
      <alignment horizontal="center"/>
    </xf>
    <xf numFmtId="38" fontId="6" fillId="0" borderId="43" xfId="1" applyNumberFormat="1" applyFont="1" applyBorder="1" applyAlignment="1">
      <alignment horizontal="center"/>
    </xf>
    <xf numFmtId="40" fontId="6" fillId="0" borderId="41" xfId="1" applyFont="1" applyFill="1" applyBorder="1" applyAlignment="1">
      <alignment vertical="center"/>
    </xf>
    <xf numFmtId="38" fontId="13" fillId="0" borderId="38" xfId="1" applyNumberFormat="1" applyFont="1" applyBorder="1" applyAlignment="1">
      <alignment horizontal="center"/>
    </xf>
    <xf numFmtId="38" fontId="9" fillId="4" borderId="41" xfId="1" applyNumberFormat="1" applyFont="1" applyFill="1" applyBorder="1" applyAlignment="1">
      <alignment horizontal="center"/>
    </xf>
    <xf numFmtId="38" fontId="6" fillId="9" borderId="43" xfId="1" applyNumberFormat="1" applyFont="1" applyFill="1" applyBorder="1" applyAlignment="1">
      <alignment horizontal="center"/>
    </xf>
    <xf numFmtId="0" fontId="6" fillId="12" borderId="41" xfId="0" applyFont="1" applyFill="1" applyBorder="1"/>
    <xf numFmtId="0" fontId="6" fillId="12" borderId="43" xfId="0" applyFont="1" applyFill="1" applyBorder="1"/>
    <xf numFmtId="40" fontId="6" fillId="12" borderId="52" xfId="1" applyFont="1" applyFill="1" applyBorder="1" applyAlignment="1">
      <alignment vertical="center"/>
    </xf>
    <xf numFmtId="38" fontId="9" fillId="9" borderId="41" xfId="1" applyNumberFormat="1" applyFont="1" applyFill="1" applyBorder="1" applyAlignment="1">
      <alignment horizontal="center"/>
    </xf>
    <xf numFmtId="38" fontId="6" fillId="8" borderId="41" xfId="1" applyNumberFormat="1" applyFont="1" applyFill="1" applyBorder="1" applyAlignment="1">
      <alignment horizontal="center"/>
    </xf>
    <xf numFmtId="38" fontId="6" fillId="8" borderId="45" xfId="1" applyNumberFormat="1" applyFont="1" applyFill="1" applyBorder="1" applyAlignment="1">
      <alignment horizontal="center"/>
    </xf>
    <xf numFmtId="38" fontId="6" fillId="13" borderId="41" xfId="1" applyNumberFormat="1" applyFont="1" applyFill="1" applyBorder="1" applyAlignment="1">
      <alignment horizontal="center"/>
    </xf>
    <xf numFmtId="40" fontId="8" fillId="0" borderId="50" xfId="1" applyFont="1" applyBorder="1" applyAlignment="1">
      <alignment horizontal="center"/>
    </xf>
    <xf numFmtId="38" fontId="6" fillId="13" borderId="46" xfId="1" applyNumberFormat="1" applyFont="1" applyFill="1" applyBorder="1" applyAlignment="1">
      <alignment horizontal="center"/>
    </xf>
    <xf numFmtId="40" fontId="8" fillId="12" borderId="50" xfId="1" applyFont="1" applyFill="1" applyBorder="1" applyAlignment="1">
      <alignment horizontal="center"/>
    </xf>
    <xf numFmtId="0" fontId="6" fillId="0" borderId="16" xfId="0" applyFont="1" applyBorder="1"/>
    <xf numFmtId="38" fontId="8" fillId="0" borderId="50" xfId="1" applyNumberFormat="1" applyFont="1" applyBorder="1" applyAlignment="1">
      <alignment horizontal="center"/>
    </xf>
    <xf numFmtId="0" fontId="14" fillId="7" borderId="47" xfId="0" applyFont="1" applyFill="1" applyBorder="1" applyAlignment="1">
      <alignment horizontal="center"/>
    </xf>
    <xf numFmtId="0" fontId="14" fillId="7" borderId="42" xfId="0" applyFont="1" applyFill="1" applyBorder="1" applyAlignment="1">
      <alignment horizontal="center"/>
    </xf>
    <xf numFmtId="0" fontId="14" fillId="7" borderId="44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49" fontId="18" fillId="0" borderId="32" xfId="0" applyNumberFormat="1" applyFont="1" applyBorder="1" applyAlignment="1">
      <alignment horizontal="center" vertical="center"/>
    </xf>
    <xf numFmtId="14" fontId="9" fillId="0" borderId="23" xfId="0" applyNumberFormat="1" applyFont="1" applyBorder="1" applyAlignment="1">
      <alignment horizontal="center" vertical="center"/>
    </xf>
    <xf numFmtId="38" fontId="19" fillId="0" borderId="23" xfId="1" applyNumberFormat="1" applyFont="1" applyBorder="1" applyAlignment="1">
      <alignment horizontal="center" vertical="center"/>
    </xf>
    <xf numFmtId="38" fontId="20" fillId="0" borderId="23" xfId="1" applyNumberFormat="1" applyFont="1" applyBorder="1" applyAlignment="1">
      <alignment horizontal="center" vertical="center"/>
    </xf>
    <xf numFmtId="40" fontId="9" fillId="0" borderId="23" xfId="1" applyFont="1" applyBorder="1" applyAlignment="1">
      <alignment horizontal="center" vertical="center"/>
    </xf>
    <xf numFmtId="40" fontId="9" fillId="0" borderId="31" xfId="1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40" fontId="21" fillId="12" borderId="46" xfId="1" applyFont="1" applyFill="1" applyBorder="1" applyAlignment="1">
      <alignment horizontal="center"/>
    </xf>
    <xf numFmtId="38" fontId="13" fillId="12" borderId="46" xfId="1" applyNumberFormat="1" applyFont="1" applyFill="1" applyBorder="1" applyAlignment="1">
      <alignment horizontal="center"/>
    </xf>
    <xf numFmtId="49" fontId="18" fillId="0" borderId="53" xfId="0" applyNumberFormat="1" applyFont="1" applyBorder="1" applyAlignment="1">
      <alignment horizontal="center" vertical="center"/>
    </xf>
    <xf numFmtId="14" fontId="9" fillId="0" borderId="35" xfId="0" applyNumberFormat="1" applyFont="1" applyBorder="1" applyAlignment="1">
      <alignment horizontal="center" vertical="center"/>
    </xf>
    <xf numFmtId="38" fontId="19" fillId="0" borderId="35" xfId="1" applyNumberFormat="1" applyFont="1" applyBorder="1" applyAlignment="1">
      <alignment horizontal="center" vertical="center"/>
    </xf>
    <xf numFmtId="38" fontId="20" fillId="0" borderId="35" xfId="1" applyNumberFormat="1" applyFont="1" applyBorder="1" applyAlignment="1">
      <alignment horizontal="center" vertical="center"/>
    </xf>
    <xf numFmtId="40" fontId="9" fillId="0" borderId="35" xfId="1" applyFont="1" applyBorder="1" applyAlignment="1">
      <alignment horizontal="center" vertical="center"/>
    </xf>
    <xf numFmtId="40" fontId="9" fillId="0" borderId="48" xfId="1" applyFont="1" applyBorder="1" applyAlignment="1">
      <alignment horizontal="center" vertical="center"/>
    </xf>
    <xf numFmtId="49" fontId="19" fillId="0" borderId="35" xfId="0" applyNumberFormat="1" applyFont="1" applyBorder="1" applyAlignment="1">
      <alignment horizontal="center" vertical="center"/>
    </xf>
    <xf numFmtId="2" fontId="20" fillId="0" borderId="35" xfId="0" applyNumberFormat="1" applyFont="1" applyBorder="1" applyAlignment="1">
      <alignment horizontal="center" vertical="center"/>
    </xf>
    <xf numFmtId="2" fontId="9" fillId="0" borderId="35" xfId="0" applyNumberFormat="1" applyFont="1" applyBorder="1" applyAlignment="1">
      <alignment horizontal="center" vertical="center"/>
    </xf>
    <xf numFmtId="0" fontId="6" fillId="0" borderId="35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38" fontId="6" fillId="13" borderId="42" xfId="1" applyNumberFormat="1" applyFont="1" applyFill="1" applyBorder="1" applyAlignment="1">
      <alignment horizontal="center"/>
    </xf>
    <xf numFmtId="38" fontId="13" fillId="10" borderId="38" xfId="1" applyNumberFormat="1" applyFont="1" applyFill="1" applyBorder="1" applyAlignment="1">
      <alignment horizontal="center"/>
    </xf>
    <xf numFmtId="0" fontId="6" fillId="0" borderId="23" xfId="0" applyFont="1" applyBorder="1" applyAlignment="1">
      <alignment horizontal="center" vertical="center"/>
    </xf>
    <xf numFmtId="38" fontId="6" fillId="8" borderId="44" xfId="1" applyNumberFormat="1" applyFont="1" applyFill="1" applyBorder="1" applyAlignment="1">
      <alignment horizontal="center"/>
    </xf>
    <xf numFmtId="38" fontId="6" fillId="8" borderId="43" xfId="1" applyNumberFormat="1" applyFont="1" applyFill="1" applyBorder="1" applyAlignment="1">
      <alignment horizontal="center"/>
    </xf>
    <xf numFmtId="49" fontId="18" fillId="0" borderId="54" xfId="0" applyNumberFormat="1" applyFont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0" fontId="6" fillId="0" borderId="55" xfId="0" applyFont="1" applyBorder="1" applyAlignment="1">
      <alignment horizontal="center"/>
    </xf>
    <xf numFmtId="14" fontId="9" fillId="0" borderId="0" xfId="0" applyNumberFormat="1" applyFont="1" applyAlignment="1">
      <alignment horizontal="center" vertical="center"/>
    </xf>
    <xf numFmtId="38" fontId="19" fillId="0" borderId="0" xfId="1" applyNumberFormat="1" applyFont="1" applyBorder="1" applyAlignment="1">
      <alignment horizontal="center" vertical="center"/>
    </xf>
    <xf numFmtId="38" fontId="20" fillId="0" borderId="0" xfId="1" applyNumberFormat="1" applyFont="1" applyBorder="1" applyAlignment="1">
      <alignment horizontal="center" vertical="center"/>
    </xf>
    <xf numFmtId="40" fontId="9" fillId="0" borderId="0" xfId="1" applyFont="1" applyBorder="1" applyAlignment="1">
      <alignment horizontal="center" vertical="center"/>
    </xf>
    <xf numFmtId="40" fontId="9" fillId="0" borderId="55" xfId="1" applyFont="1" applyBorder="1" applyAlignment="1">
      <alignment horizontal="center" vertical="center"/>
    </xf>
    <xf numFmtId="38" fontId="6" fillId="5" borderId="44" xfId="1" applyNumberFormat="1" applyFont="1" applyFill="1" applyBorder="1" applyAlignment="1">
      <alignment horizontal="center"/>
    </xf>
    <xf numFmtId="38" fontId="6" fillId="0" borderId="43" xfId="1" applyNumberFormat="1" applyFont="1" applyFill="1" applyBorder="1" applyAlignment="1">
      <alignment horizontal="center"/>
    </xf>
    <xf numFmtId="38" fontId="13" fillId="10" borderId="46" xfId="1" applyNumberFormat="1" applyFont="1" applyFill="1" applyBorder="1" applyAlignment="1">
      <alignment horizontal="center"/>
    </xf>
    <xf numFmtId="49" fontId="18" fillId="0" borderId="31" xfId="0" applyNumberFormat="1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38" fontId="6" fillId="13" borderId="45" xfId="1" applyNumberFormat="1" applyFont="1" applyFill="1" applyBorder="1" applyAlignment="1">
      <alignment horizontal="center"/>
    </xf>
    <xf numFmtId="0" fontId="18" fillId="0" borderId="23" xfId="0" applyFont="1" applyBorder="1" applyAlignment="1">
      <alignment horizontal="center" vertical="center"/>
    </xf>
    <xf numFmtId="0" fontId="9" fillId="0" borderId="23" xfId="0" applyFont="1" applyBorder="1"/>
    <xf numFmtId="0" fontId="9" fillId="0" borderId="31" xfId="0" applyFont="1" applyBorder="1"/>
    <xf numFmtId="38" fontId="6" fillId="12" borderId="47" xfId="1" applyNumberFormat="1" applyFont="1" applyFill="1" applyBorder="1" applyAlignment="1">
      <alignment horizontal="center"/>
    </xf>
    <xf numFmtId="49" fontId="18" fillId="0" borderId="35" xfId="0" applyNumberFormat="1" applyFont="1" applyBorder="1" applyAlignment="1">
      <alignment horizontal="center" vertical="center"/>
    </xf>
    <xf numFmtId="0" fontId="9" fillId="0" borderId="35" xfId="0" applyFont="1" applyBorder="1"/>
    <xf numFmtId="0" fontId="9" fillId="0" borderId="48" xfId="0" applyFont="1" applyBorder="1"/>
    <xf numFmtId="38" fontId="6" fillId="0" borderId="47" xfId="1" applyNumberFormat="1" applyFont="1" applyBorder="1" applyAlignment="1">
      <alignment horizontal="center"/>
    </xf>
    <xf numFmtId="38" fontId="6" fillId="7" borderId="44" xfId="1" applyNumberFormat="1" applyFont="1" applyFill="1" applyBorder="1" applyAlignment="1">
      <alignment horizontal="center"/>
    </xf>
    <xf numFmtId="38" fontId="6" fillId="0" borderId="23" xfId="1" applyNumberFormat="1" applyFont="1" applyBorder="1" applyAlignment="1">
      <alignment horizontal="center"/>
    </xf>
    <xf numFmtId="38" fontId="6" fillId="5" borderId="25" xfId="1" applyNumberFormat="1" applyFont="1" applyFill="1" applyBorder="1" applyAlignment="1">
      <alignment horizontal="center"/>
    </xf>
    <xf numFmtId="0" fontId="6" fillId="0" borderId="24" xfId="0" applyFont="1" applyBorder="1"/>
    <xf numFmtId="38" fontId="6" fillId="5" borderId="31" xfId="1" applyNumberFormat="1" applyFont="1" applyFill="1" applyBorder="1" applyAlignment="1">
      <alignment horizontal="center"/>
    </xf>
    <xf numFmtId="38" fontId="6" fillId="5" borderId="22" xfId="1" applyNumberFormat="1" applyFont="1" applyFill="1" applyBorder="1" applyAlignment="1">
      <alignment horizontal="center"/>
    </xf>
    <xf numFmtId="38" fontId="6" fillId="0" borderId="25" xfId="1" applyNumberFormat="1" applyFont="1" applyBorder="1" applyAlignment="1">
      <alignment horizontal="center"/>
    </xf>
    <xf numFmtId="38" fontId="6" fillId="0" borderId="24" xfId="1" applyNumberFormat="1" applyFont="1" applyBorder="1" applyAlignment="1">
      <alignment horizontal="center"/>
    </xf>
    <xf numFmtId="40" fontId="6" fillId="0" borderId="21" xfId="1" applyFont="1" applyFill="1" applyBorder="1" applyAlignment="1">
      <alignment horizontal="center"/>
    </xf>
    <xf numFmtId="40" fontId="6" fillId="0" borderId="22" xfId="1" applyFont="1" applyFill="1" applyBorder="1" applyAlignment="1">
      <alignment horizontal="center"/>
    </xf>
    <xf numFmtId="40" fontId="6" fillId="0" borderId="23" xfId="1" applyFont="1" applyFill="1" applyBorder="1" applyAlignment="1">
      <alignment horizontal="center"/>
    </xf>
    <xf numFmtId="40" fontId="6" fillId="0" borderId="24" xfId="1" applyFont="1" applyFill="1" applyBorder="1" applyAlignment="1">
      <alignment horizontal="center"/>
    </xf>
    <xf numFmtId="40" fontId="8" fillId="0" borderId="25" xfId="1" applyFont="1" applyBorder="1" applyAlignment="1">
      <alignment horizontal="center"/>
    </xf>
    <xf numFmtId="38" fontId="6" fillId="7" borderId="0" xfId="1" applyNumberFormat="1" applyFont="1" applyFill="1" applyBorder="1" applyAlignment="1">
      <alignment horizontal="center"/>
    </xf>
    <xf numFmtId="38" fontId="6" fillId="5" borderId="28" xfId="1" applyNumberFormat="1" applyFont="1" applyFill="1" applyBorder="1" applyAlignment="1">
      <alignment horizontal="center"/>
    </xf>
    <xf numFmtId="38" fontId="6" fillId="5" borderId="56" xfId="1" applyNumberFormat="1" applyFont="1" applyFill="1" applyBorder="1" applyAlignment="1">
      <alignment horizontal="center"/>
    </xf>
    <xf numFmtId="38" fontId="6" fillId="13" borderId="29" xfId="1" applyNumberFormat="1" applyFont="1" applyFill="1" applyBorder="1" applyAlignment="1">
      <alignment horizontal="center"/>
    </xf>
    <xf numFmtId="38" fontId="6" fillId="4" borderId="57" xfId="1" applyNumberFormat="1" applyFont="1" applyFill="1" applyBorder="1" applyAlignment="1">
      <alignment horizontal="center"/>
    </xf>
    <xf numFmtId="38" fontId="6" fillId="4" borderId="29" xfId="1" applyNumberFormat="1" applyFont="1" applyFill="1" applyBorder="1" applyAlignment="1">
      <alignment horizontal="center"/>
    </xf>
    <xf numFmtId="38" fontId="6" fillId="4" borderId="28" xfId="1" applyNumberFormat="1" applyFont="1" applyFill="1" applyBorder="1" applyAlignment="1">
      <alignment horizontal="center"/>
    </xf>
    <xf numFmtId="38" fontId="6" fillId="4" borderId="58" xfId="1" applyNumberFormat="1" applyFont="1" applyFill="1" applyBorder="1" applyAlignment="1">
      <alignment horizontal="center"/>
    </xf>
    <xf numFmtId="38" fontId="6" fillId="7" borderId="26" xfId="1" applyNumberFormat="1" applyFont="1" applyFill="1" applyBorder="1" applyAlignment="1">
      <alignment horizontal="center"/>
    </xf>
    <xf numFmtId="38" fontId="6" fillId="5" borderId="58" xfId="1" applyNumberFormat="1" applyFont="1" applyFill="1" applyBorder="1" applyAlignment="1">
      <alignment horizontal="center"/>
    </xf>
    <xf numFmtId="38" fontId="6" fillId="5" borderId="59" xfId="1" applyNumberFormat="1" applyFont="1" applyFill="1" applyBorder="1" applyAlignment="1">
      <alignment horizontal="center"/>
    </xf>
    <xf numFmtId="38" fontId="9" fillId="4" borderId="28" xfId="1" applyNumberFormat="1" applyFont="1" applyFill="1" applyBorder="1" applyAlignment="1">
      <alignment horizontal="center"/>
    </xf>
    <xf numFmtId="38" fontId="6" fillId="0" borderId="29" xfId="1" applyNumberFormat="1" applyFont="1" applyBorder="1" applyAlignment="1">
      <alignment horizontal="center"/>
    </xf>
    <xf numFmtId="0" fontId="6" fillId="0" borderId="27" xfId="0" applyFont="1" applyBorder="1"/>
    <xf numFmtId="38" fontId="13" fillId="10" borderId="16" xfId="1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center" vertical="center"/>
    </xf>
    <xf numFmtId="38" fontId="1" fillId="5" borderId="15" xfId="0" applyNumberFormat="1" applyFont="1" applyFill="1" applyBorder="1" applyAlignment="1">
      <alignment horizontal="center" vertical="center"/>
    </xf>
    <xf numFmtId="38" fontId="1" fillId="5" borderId="60" xfId="0" applyNumberFormat="1" applyFont="1" applyFill="1" applyBorder="1" applyAlignment="1">
      <alignment horizontal="center" vertical="center"/>
    </xf>
    <xf numFmtId="38" fontId="1" fillId="5" borderId="19" xfId="0" applyNumberFormat="1" applyFont="1" applyFill="1" applyBorder="1" applyAlignment="1">
      <alignment horizontal="center" vertical="center"/>
    </xf>
    <xf numFmtId="38" fontId="1" fillId="4" borderId="60" xfId="0" applyNumberFormat="1" applyFont="1" applyFill="1" applyBorder="1" applyAlignment="1">
      <alignment horizontal="center" vertical="center"/>
    </xf>
    <xf numFmtId="38" fontId="1" fillId="4" borderId="19" xfId="0" applyNumberFormat="1" applyFont="1" applyFill="1" applyBorder="1" applyAlignment="1">
      <alignment horizontal="center" vertical="center"/>
    </xf>
    <xf numFmtId="38" fontId="1" fillId="5" borderId="2" xfId="0" applyNumberFormat="1" applyFont="1" applyFill="1" applyBorder="1" applyAlignment="1">
      <alignment horizontal="center" vertical="center"/>
    </xf>
    <xf numFmtId="38" fontId="1" fillId="0" borderId="61" xfId="0" applyNumberFormat="1" applyFont="1" applyBorder="1" applyAlignment="1">
      <alignment horizontal="center" vertical="center"/>
    </xf>
    <xf numFmtId="38" fontId="1" fillId="7" borderId="62" xfId="1" applyNumberFormat="1" applyFont="1" applyFill="1" applyBorder="1" applyAlignment="1">
      <alignment horizontal="center" vertical="center"/>
    </xf>
    <xf numFmtId="38" fontId="5" fillId="0" borderId="63" xfId="1" applyNumberFormat="1" applyFont="1" applyFill="1" applyBorder="1" applyAlignment="1">
      <alignment horizontal="center" vertical="center"/>
    </xf>
    <xf numFmtId="38" fontId="5" fillId="13" borderId="63" xfId="1" applyNumberFormat="1" applyFont="1" applyFill="1" applyBorder="1" applyAlignment="1">
      <alignment horizontal="center" vertical="center"/>
    </xf>
    <xf numFmtId="49" fontId="5" fillId="0" borderId="64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38" fontId="1" fillId="5" borderId="65" xfId="0" applyNumberFormat="1" applyFont="1" applyFill="1" applyBorder="1" applyAlignment="1">
      <alignment horizontal="center" vertical="center"/>
    </xf>
    <xf numFmtId="38" fontId="1" fillId="5" borderId="0" xfId="0" applyNumberFormat="1" applyFont="1" applyFill="1" applyAlignment="1">
      <alignment horizontal="center" vertical="center"/>
    </xf>
    <xf numFmtId="38" fontId="1" fillId="5" borderId="17" xfId="0" applyNumberFormat="1" applyFont="1" applyFill="1" applyBorder="1" applyAlignment="1">
      <alignment horizontal="center" vertical="center"/>
    </xf>
    <xf numFmtId="38" fontId="1" fillId="4" borderId="65" xfId="0" applyNumberFormat="1" applyFont="1" applyFill="1" applyBorder="1" applyAlignment="1">
      <alignment horizontal="center" vertical="center"/>
    </xf>
    <xf numFmtId="38" fontId="1" fillId="4" borderId="0" xfId="0" applyNumberFormat="1" applyFont="1" applyFill="1" applyAlignment="1">
      <alignment horizontal="center" vertical="center"/>
    </xf>
    <xf numFmtId="38" fontId="1" fillId="4" borderId="17" xfId="0" applyNumberFormat="1" applyFont="1" applyFill="1" applyBorder="1" applyAlignment="1">
      <alignment horizontal="center" vertical="center"/>
    </xf>
    <xf numFmtId="38" fontId="1" fillId="5" borderId="1" xfId="0" applyNumberFormat="1" applyFont="1" applyFill="1" applyBorder="1" applyAlignment="1">
      <alignment horizontal="center" vertical="center"/>
    </xf>
    <xf numFmtId="38" fontId="1" fillId="4" borderId="15" xfId="0" applyNumberFormat="1" applyFont="1" applyFill="1" applyBorder="1" applyAlignment="1">
      <alignment horizontal="center" vertical="center"/>
    </xf>
    <xf numFmtId="38" fontId="1" fillId="5" borderId="4" xfId="0" applyNumberFormat="1" applyFont="1" applyFill="1" applyBorder="1" applyAlignment="1">
      <alignment horizontal="center" vertical="center"/>
    </xf>
    <xf numFmtId="38" fontId="1" fillId="5" borderId="3" xfId="0" applyNumberFormat="1" applyFont="1" applyFill="1" applyBorder="1" applyAlignment="1">
      <alignment horizontal="center" vertical="center"/>
    </xf>
    <xf numFmtId="38" fontId="5" fillId="0" borderId="3" xfId="0" applyNumberFormat="1" applyFont="1" applyBorder="1" applyAlignment="1">
      <alignment horizontal="center" vertical="center"/>
    </xf>
    <xf numFmtId="38" fontId="5" fillId="0" borderId="66" xfId="1" applyNumberFormat="1" applyFont="1" applyFill="1" applyBorder="1" applyAlignment="1">
      <alignment horizontal="center" vertical="center"/>
    </xf>
    <xf numFmtId="38" fontId="5" fillId="0" borderId="4" xfId="1" applyNumberFormat="1" applyFont="1" applyFill="1" applyBorder="1" applyAlignment="1">
      <alignment horizontal="center" vertical="center"/>
    </xf>
    <xf numFmtId="38" fontId="5" fillId="0" borderId="67" xfId="1" applyNumberFormat="1" applyFont="1" applyFill="1" applyBorder="1" applyAlignment="1">
      <alignment horizontal="center" vertical="center"/>
    </xf>
    <xf numFmtId="38" fontId="5" fillId="0" borderId="1" xfId="0" applyNumberFormat="1" applyFont="1" applyBorder="1" applyAlignment="1">
      <alignment horizontal="center" vertical="center"/>
    </xf>
    <xf numFmtId="38" fontId="5" fillId="7" borderId="3" xfId="1" applyNumberFormat="1" applyFont="1" applyFill="1" applyBorder="1" applyAlignment="1">
      <alignment horizontal="center" vertical="center"/>
    </xf>
    <xf numFmtId="38" fontId="5" fillId="0" borderId="1" xfId="1" applyNumberFormat="1" applyFont="1" applyFill="1" applyBorder="1" applyAlignment="1">
      <alignment horizontal="center" vertical="center"/>
    </xf>
    <xf numFmtId="38" fontId="22" fillId="7" borderId="1" xfId="1" applyNumberFormat="1" applyFont="1" applyFill="1" applyBorder="1" applyAlignment="1">
      <alignment horizontal="center" vertical="center"/>
    </xf>
    <xf numFmtId="38" fontId="1" fillId="5" borderId="15" xfId="0" applyNumberFormat="1" applyFont="1" applyFill="1" applyBorder="1" applyAlignment="1">
      <alignment horizontal="center"/>
    </xf>
    <xf numFmtId="38" fontId="1" fillId="5" borderId="60" xfId="0" applyNumberFormat="1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38" fontId="1" fillId="4" borderId="15" xfId="0" applyNumberFormat="1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38" fontId="1" fillId="5" borderId="18" xfId="0" applyNumberFormat="1" applyFont="1" applyFill="1" applyBorder="1"/>
    <xf numFmtId="38" fontId="1" fillId="4" borderId="60" xfId="1" applyNumberFormat="1" applyFont="1" applyFill="1" applyBorder="1" applyAlignment="1">
      <alignment horizontal="center"/>
    </xf>
    <xf numFmtId="38" fontId="1" fillId="4" borderId="19" xfId="1" applyNumberFormat="1" applyFont="1" applyFill="1" applyBorder="1" applyAlignment="1">
      <alignment horizontal="center"/>
    </xf>
    <xf numFmtId="38" fontId="1" fillId="5" borderId="1" xfId="0" applyNumberFormat="1" applyFont="1" applyFill="1" applyBorder="1"/>
    <xf numFmtId="38" fontId="1" fillId="5" borderId="66" xfId="0" applyNumberFormat="1" applyFont="1" applyFill="1" applyBorder="1" applyAlignment="1">
      <alignment horizontal="center"/>
    </xf>
    <xf numFmtId="0" fontId="1" fillId="5" borderId="68" xfId="0" applyFont="1" applyFill="1" applyBorder="1" applyAlignment="1">
      <alignment horizontal="center"/>
    </xf>
    <xf numFmtId="0" fontId="1" fillId="5" borderId="69" xfId="0" applyFont="1" applyFill="1" applyBorder="1" applyAlignment="1">
      <alignment horizontal="center"/>
    </xf>
    <xf numFmtId="38" fontId="1" fillId="4" borderId="66" xfId="0" applyNumberFormat="1" applyFont="1" applyFill="1" applyBorder="1" applyAlignment="1">
      <alignment horizontal="center"/>
    </xf>
    <xf numFmtId="0" fontId="1" fillId="4" borderId="68" xfId="0" applyFont="1" applyFill="1" applyBorder="1" applyAlignment="1">
      <alignment horizontal="center"/>
    </xf>
    <xf numFmtId="0" fontId="1" fillId="4" borderId="69" xfId="0" applyFont="1" applyFill="1" applyBorder="1" applyAlignment="1">
      <alignment horizontal="center"/>
    </xf>
    <xf numFmtId="20" fontId="1" fillId="0" borderId="0" xfId="0" applyNumberFormat="1" applyFont="1"/>
    <xf numFmtId="20" fontId="22" fillId="0" borderId="0" xfId="0" applyNumberFormat="1" applyFont="1"/>
    <xf numFmtId="14" fontId="1" fillId="0" borderId="0" xfId="0" applyNumberFormat="1" applyFont="1"/>
    <xf numFmtId="164" fontId="1" fillId="0" borderId="0" xfId="0" applyNumberFormat="1" applyFont="1"/>
    <xf numFmtId="49" fontId="1" fillId="0" borderId="0" xfId="0" applyNumberFormat="1" applyFont="1"/>
  </cellXfs>
  <cellStyles count="3">
    <cellStyle name="Comma" xfId="1" builtinId="3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51</xdr:col>
      <xdr:colOff>742950</xdr:colOff>
      <xdr:row>7</xdr:row>
      <xdr:rowOff>104775</xdr:rowOff>
    </xdr:from>
    <xdr:to>
      <xdr:col>62</xdr:col>
      <xdr:colOff>228600</xdr:colOff>
      <xdr:row>11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CE1779-80BA-4A9E-9925-6B94983C2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68" t="39674" r="27347" b="54074"/>
        <a:stretch>
          <a:fillRect/>
        </a:stretch>
      </xdr:blipFill>
      <xdr:spPr bwMode="auto">
        <a:xfrm>
          <a:off x="155343225" y="1362075"/>
          <a:ext cx="84867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0138-6B9B-4EA2-9E91-F1B099EC74A0}">
  <sheetPr>
    <tabColor rgb="FFFFC000"/>
    <pageSetUpPr fitToPage="1"/>
  </sheetPr>
  <dimension ref="A1:BU148"/>
  <sheetViews>
    <sheetView rightToLeft="1" tabSelected="1" zoomScale="80" zoomScaleNormal="80" workbookViewId="0">
      <pane xSplit="1" topLeftCell="B1" activePane="topRight" state="frozen"/>
      <selection pane="topRight" activeCell="Q16" sqref="Q16"/>
    </sheetView>
  </sheetViews>
  <sheetFormatPr defaultColWidth="12" defaultRowHeight="12.75" x14ac:dyDescent="0.2"/>
  <cols>
    <col min="1" max="1" width="8" style="1" bestFit="1" customWidth="1"/>
    <col min="2" max="4" width="6" style="2" customWidth="1"/>
    <col min="5" max="5" width="7.140625" style="2" bestFit="1" customWidth="1"/>
    <col min="6" max="7" width="7.140625" style="2" customWidth="1"/>
    <col min="8" max="8" width="8.28515625" style="1" customWidth="1"/>
    <col min="9" max="10" width="8.28515625" style="2" customWidth="1"/>
    <col min="11" max="11" width="7.140625" style="2" bestFit="1" customWidth="1"/>
    <col min="12" max="12" width="6" style="2" customWidth="1"/>
    <col min="13" max="13" width="9.42578125" style="2" customWidth="1"/>
    <col min="14" max="14" width="8.140625" style="2" bestFit="1" customWidth="1"/>
    <col min="15" max="15" width="8.85546875" style="2" bestFit="1" customWidth="1"/>
    <col min="16" max="16" width="9.140625" style="2" bestFit="1" customWidth="1"/>
    <col min="17" max="17" width="45.140625" style="2" bestFit="1" customWidth="1"/>
    <col min="18" max="18" width="2.140625" style="2" customWidth="1"/>
    <col min="19" max="19" width="8" style="2" bestFit="1" customWidth="1"/>
    <col min="20" max="20" width="6.85546875" style="2" customWidth="1"/>
    <col min="21" max="22" width="7.42578125" style="2" customWidth="1"/>
    <col min="23" max="24" width="8" style="2" customWidth="1"/>
    <col min="25" max="25" width="7.42578125" style="2" customWidth="1"/>
    <col min="26" max="26" width="7.5703125" style="2" customWidth="1"/>
    <col min="27" max="28" width="7.42578125" style="2" customWidth="1"/>
    <col min="29" max="29" width="11.140625" style="2" bestFit="1" customWidth="1"/>
    <col min="30" max="30" width="7.7109375" style="2" customWidth="1"/>
    <col min="31" max="31" width="8" style="2" customWidth="1"/>
    <col min="32" max="33" width="7.85546875" style="2" customWidth="1"/>
    <col min="34" max="35" width="7.28515625" style="2" customWidth="1"/>
    <col min="36" max="36" width="8" style="2" customWidth="1"/>
    <col min="37" max="37" width="7.85546875" style="2" customWidth="1"/>
    <col min="38" max="38" width="6.7109375" style="2" bestFit="1" customWidth="1"/>
    <col min="39" max="39" width="9.28515625" style="2" bestFit="1" customWidth="1"/>
    <col min="40" max="40" width="10.7109375" style="2" customWidth="1"/>
    <col min="41" max="41" width="9.7109375" style="2" bestFit="1" customWidth="1"/>
    <col min="42" max="42" width="11.85546875" style="2" bestFit="1" customWidth="1"/>
    <col min="43" max="43" width="10.7109375" style="2" bestFit="1" customWidth="1"/>
    <col min="44" max="44" width="7.28515625" style="2" bestFit="1" customWidth="1"/>
    <col min="45" max="45" width="9.7109375" style="2" bestFit="1" customWidth="1"/>
    <col min="46" max="46" width="9.140625" style="2" bestFit="1" customWidth="1"/>
    <col min="47" max="47" width="8.5703125" style="2" bestFit="1" customWidth="1"/>
    <col min="48" max="48" width="101.140625" style="2" customWidth="1"/>
    <col min="49" max="49" width="8.85546875" style="2" bestFit="1" customWidth="1"/>
    <col min="50" max="50" width="9.85546875" style="2" customWidth="1"/>
    <col min="51" max="51" width="4.42578125" style="3" customWidth="1"/>
    <col min="52" max="52" width="11.5703125" style="2" customWidth="1"/>
    <col min="53" max="53" width="12" style="2" customWidth="1"/>
    <col min="54" max="54" width="14.42578125" style="2" bestFit="1" customWidth="1"/>
    <col min="55" max="55" width="10.42578125" style="2" customWidth="1"/>
    <col min="56" max="56" width="12.28515625" style="2" customWidth="1"/>
    <col min="57" max="57" width="12" style="2" customWidth="1"/>
    <col min="58" max="58" width="9.42578125" style="2" customWidth="1"/>
    <col min="59" max="60" width="12" style="2" customWidth="1"/>
    <col min="61" max="62" width="14.42578125" style="2" customWidth="1"/>
    <col min="63" max="63" width="14.28515625" style="2" customWidth="1"/>
    <col min="64" max="64" width="12.7109375" style="2" customWidth="1"/>
    <col min="65" max="69" width="12" style="2" customWidth="1"/>
    <col min="70" max="70" width="14.28515625" style="2" bestFit="1" customWidth="1"/>
    <col min="71" max="256" width="12" style="2"/>
    <col min="257" max="257" width="8" style="2" bestFit="1" customWidth="1"/>
    <col min="258" max="260" width="6" style="2" customWidth="1"/>
    <col min="261" max="261" width="7.140625" style="2" bestFit="1" customWidth="1"/>
    <col min="262" max="263" width="7.140625" style="2" customWidth="1"/>
    <col min="264" max="266" width="8.28515625" style="2" customWidth="1"/>
    <col min="267" max="267" width="7.140625" style="2" bestFit="1" customWidth="1"/>
    <col min="268" max="268" width="6" style="2" customWidth="1"/>
    <col min="269" max="269" width="9.42578125" style="2" customWidth="1"/>
    <col min="270" max="270" width="8.140625" style="2" bestFit="1" customWidth="1"/>
    <col min="271" max="271" width="8.85546875" style="2" bestFit="1" customWidth="1"/>
    <col min="272" max="272" width="9.140625" style="2" bestFit="1" customWidth="1"/>
    <col min="273" max="273" width="45.140625" style="2" bestFit="1" customWidth="1"/>
    <col min="274" max="274" width="2.140625" style="2" customWidth="1"/>
    <col min="275" max="275" width="8" style="2" bestFit="1" customWidth="1"/>
    <col min="276" max="276" width="6.85546875" style="2" customWidth="1"/>
    <col min="277" max="278" width="7.42578125" style="2" customWidth="1"/>
    <col min="279" max="280" width="8" style="2" customWidth="1"/>
    <col min="281" max="281" width="7.42578125" style="2" customWidth="1"/>
    <col min="282" max="282" width="7.5703125" style="2" customWidth="1"/>
    <col min="283" max="284" width="7.42578125" style="2" customWidth="1"/>
    <col min="285" max="285" width="11.140625" style="2" bestFit="1" customWidth="1"/>
    <col min="286" max="286" width="7.7109375" style="2" customWidth="1"/>
    <col min="287" max="287" width="8" style="2" customWidth="1"/>
    <col min="288" max="289" width="7.85546875" style="2" customWidth="1"/>
    <col min="290" max="291" width="7.28515625" style="2" customWidth="1"/>
    <col min="292" max="292" width="8" style="2" customWidth="1"/>
    <col min="293" max="293" width="7.85546875" style="2" customWidth="1"/>
    <col min="294" max="294" width="6.7109375" style="2" bestFit="1" customWidth="1"/>
    <col min="295" max="295" width="9.28515625" style="2" bestFit="1" customWidth="1"/>
    <col min="296" max="296" width="10.7109375" style="2" customWidth="1"/>
    <col min="297" max="297" width="9.7109375" style="2" bestFit="1" customWidth="1"/>
    <col min="298" max="298" width="11.85546875" style="2" bestFit="1" customWidth="1"/>
    <col min="299" max="299" width="10.7109375" style="2" bestFit="1" customWidth="1"/>
    <col min="300" max="300" width="7.28515625" style="2" bestFit="1" customWidth="1"/>
    <col min="301" max="301" width="9.7109375" style="2" bestFit="1" customWidth="1"/>
    <col min="302" max="302" width="9.140625" style="2" bestFit="1" customWidth="1"/>
    <col min="303" max="303" width="8.5703125" style="2" bestFit="1" customWidth="1"/>
    <col min="304" max="304" width="101.140625" style="2" customWidth="1"/>
    <col min="305" max="305" width="8.85546875" style="2" bestFit="1" customWidth="1"/>
    <col min="306" max="306" width="9.85546875" style="2" customWidth="1"/>
    <col min="307" max="307" width="4.42578125" style="2" customWidth="1"/>
    <col min="308" max="308" width="11.5703125" style="2" customWidth="1"/>
    <col min="309" max="309" width="12" style="2"/>
    <col min="310" max="310" width="14.42578125" style="2" bestFit="1" customWidth="1"/>
    <col min="311" max="311" width="10.42578125" style="2" customWidth="1"/>
    <col min="312" max="312" width="12.28515625" style="2" customWidth="1"/>
    <col min="313" max="313" width="12" style="2"/>
    <col min="314" max="314" width="9.42578125" style="2" customWidth="1"/>
    <col min="315" max="316" width="12" style="2"/>
    <col min="317" max="318" width="14.42578125" style="2" customWidth="1"/>
    <col min="319" max="319" width="14.28515625" style="2" customWidth="1"/>
    <col min="320" max="320" width="12.7109375" style="2" customWidth="1"/>
    <col min="321" max="325" width="12" style="2"/>
    <col min="326" max="326" width="14.28515625" style="2" bestFit="1" customWidth="1"/>
    <col min="327" max="512" width="12" style="2"/>
    <col min="513" max="513" width="8" style="2" bestFit="1" customWidth="1"/>
    <col min="514" max="516" width="6" style="2" customWidth="1"/>
    <col min="517" max="517" width="7.140625" style="2" bestFit="1" customWidth="1"/>
    <col min="518" max="519" width="7.140625" style="2" customWidth="1"/>
    <col min="520" max="522" width="8.28515625" style="2" customWidth="1"/>
    <col min="523" max="523" width="7.140625" style="2" bestFit="1" customWidth="1"/>
    <col min="524" max="524" width="6" style="2" customWidth="1"/>
    <col min="525" max="525" width="9.42578125" style="2" customWidth="1"/>
    <col min="526" max="526" width="8.140625" style="2" bestFit="1" customWidth="1"/>
    <col min="527" max="527" width="8.85546875" style="2" bestFit="1" customWidth="1"/>
    <col min="528" max="528" width="9.140625" style="2" bestFit="1" customWidth="1"/>
    <col min="529" max="529" width="45.140625" style="2" bestFit="1" customWidth="1"/>
    <col min="530" max="530" width="2.140625" style="2" customWidth="1"/>
    <col min="531" max="531" width="8" style="2" bestFit="1" customWidth="1"/>
    <col min="532" max="532" width="6.85546875" style="2" customWidth="1"/>
    <col min="533" max="534" width="7.42578125" style="2" customWidth="1"/>
    <col min="535" max="536" width="8" style="2" customWidth="1"/>
    <col min="537" max="537" width="7.42578125" style="2" customWidth="1"/>
    <col min="538" max="538" width="7.5703125" style="2" customWidth="1"/>
    <col min="539" max="540" width="7.42578125" style="2" customWidth="1"/>
    <col min="541" max="541" width="11.140625" style="2" bestFit="1" customWidth="1"/>
    <col min="542" max="542" width="7.7109375" style="2" customWidth="1"/>
    <col min="543" max="543" width="8" style="2" customWidth="1"/>
    <col min="544" max="545" width="7.85546875" style="2" customWidth="1"/>
    <col min="546" max="547" width="7.28515625" style="2" customWidth="1"/>
    <col min="548" max="548" width="8" style="2" customWidth="1"/>
    <col min="549" max="549" width="7.85546875" style="2" customWidth="1"/>
    <col min="550" max="550" width="6.7109375" style="2" bestFit="1" customWidth="1"/>
    <col min="551" max="551" width="9.28515625" style="2" bestFit="1" customWidth="1"/>
    <col min="552" max="552" width="10.7109375" style="2" customWidth="1"/>
    <col min="553" max="553" width="9.7109375" style="2" bestFit="1" customWidth="1"/>
    <col min="554" max="554" width="11.85546875" style="2" bestFit="1" customWidth="1"/>
    <col min="555" max="555" width="10.7109375" style="2" bestFit="1" customWidth="1"/>
    <col min="556" max="556" width="7.28515625" style="2" bestFit="1" customWidth="1"/>
    <col min="557" max="557" width="9.7109375" style="2" bestFit="1" customWidth="1"/>
    <col min="558" max="558" width="9.140625" style="2" bestFit="1" customWidth="1"/>
    <col min="559" max="559" width="8.5703125" style="2" bestFit="1" customWidth="1"/>
    <col min="560" max="560" width="101.140625" style="2" customWidth="1"/>
    <col min="561" max="561" width="8.85546875" style="2" bestFit="1" customWidth="1"/>
    <col min="562" max="562" width="9.85546875" style="2" customWidth="1"/>
    <col min="563" max="563" width="4.42578125" style="2" customWidth="1"/>
    <col min="564" max="564" width="11.5703125" style="2" customWidth="1"/>
    <col min="565" max="565" width="12" style="2"/>
    <col min="566" max="566" width="14.42578125" style="2" bestFit="1" customWidth="1"/>
    <col min="567" max="567" width="10.42578125" style="2" customWidth="1"/>
    <col min="568" max="568" width="12.28515625" style="2" customWidth="1"/>
    <col min="569" max="569" width="12" style="2"/>
    <col min="570" max="570" width="9.42578125" style="2" customWidth="1"/>
    <col min="571" max="572" width="12" style="2"/>
    <col min="573" max="574" width="14.42578125" style="2" customWidth="1"/>
    <col min="575" max="575" width="14.28515625" style="2" customWidth="1"/>
    <col min="576" max="576" width="12.7109375" style="2" customWidth="1"/>
    <col min="577" max="581" width="12" style="2"/>
    <col min="582" max="582" width="14.28515625" style="2" bestFit="1" customWidth="1"/>
    <col min="583" max="768" width="12" style="2"/>
    <col min="769" max="769" width="8" style="2" bestFit="1" customWidth="1"/>
    <col min="770" max="772" width="6" style="2" customWidth="1"/>
    <col min="773" max="773" width="7.140625" style="2" bestFit="1" customWidth="1"/>
    <col min="774" max="775" width="7.140625" style="2" customWidth="1"/>
    <col min="776" max="778" width="8.28515625" style="2" customWidth="1"/>
    <col min="779" max="779" width="7.140625" style="2" bestFit="1" customWidth="1"/>
    <col min="780" max="780" width="6" style="2" customWidth="1"/>
    <col min="781" max="781" width="9.42578125" style="2" customWidth="1"/>
    <col min="782" max="782" width="8.140625" style="2" bestFit="1" customWidth="1"/>
    <col min="783" max="783" width="8.85546875" style="2" bestFit="1" customWidth="1"/>
    <col min="784" max="784" width="9.140625" style="2" bestFit="1" customWidth="1"/>
    <col min="785" max="785" width="45.140625" style="2" bestFit="1" customWidth="1"/>
    <col min="786" max="786" width="2.140625" style="2" customWidth="1"/>
    <col min="787" max="787" width="8" style="2" bestFit="1" customWidth="1"/>
    <col min="788" max="788" width="6.85546875" style="2" customWidth="1"/>
    <col min="789" max="790" width="7.42578125" style="2" customWidth="1"/>
    <col min="791" max="792" width="8" style="2" customWidth="1"/>
    <col min="793" max="793" width="7.42578125" style="2" customWidth="1"/>
    <col min="794" max="794" width="7.5703125" style="2" customWidth="1"/>
    <col min="795" max="796" width="7.42578125" style="2" customWidth="1"/>
    <col min="797" max="797" width="11.140625" style="2" bestFit="1" customWidth="1"/>
    <col min="798" max="798" width="7.7109375" style="2" customWidth="1"/>
    <col min="799" max="799" width="8" style="2" customWidth="1"/>
    <col min="800" max="801" width="7.85546875" style="2" customWidth="1"/>
    <col min="802" max="803" width="7.28515625" style="2" customWidth="1"/>
    <col min="804" max="804" width="8" style="2" customWidth="1"/>
    <col min="805" max="805" width="7.85546875" style="2" customWidth="1"/>
    <col min="806" max="806" width="6.7109375" style="2" bestFit="1" customWidth="1"/>
    <col min="807" max="807" width="9.28515625" style="2" bestFit="1" customWidth="1"/>
    <col min="808" max="808" width="10.7109375" style="2" customWidth="1"/>
    <col min="809" max="809" width="9.7109375" style="2" bestFit="1" customWidth="1"/>
    <col min="810" max="810" width="11.85546875" style="2" bestFit="1" customWidth="1"/>
    <col min="811" max="811" width="10.7109375" style="2" bestFit="1" customWidth="1"/>
    <col min="812" max="812" width="7.28515625" style="2" bestFit="1" customWidth="1"/>
    <col min="813" max="813" width="9.7109375" style="2" bestFit="1" customWidth="1"/>
    <col min="814" max="814" width="9.140625" style="2" bestFit="1" customWidth="1"/>
    <col min="815" max="815" width="8.5703125" style="2" bestFit="1" customWidth="1"/>
    <col min="816" max="816" width="101.140625" style="2" customWidth="1"/>
    <col min="817" max="817" width="8.85546875" style="2" bestFit="1" customWidth="1"/>
    <col min="818" max="818" width="9.85546875" style="2" customWidth="1"/>
    <col min="819" max="819" width="4.42578125" style="2" customWidth="1"/>
    <col min="820" max="820" width="11.5703125" style="2" customWidth="1"/>
    <col min="821" max="821" width="12" style="2"/>
    <col min="822" max="822" width="14.42578125" style="2" bestFit="1" customWidth="1"/>
    <col min="823" max="823" width="10.42578125" style="2" customWidth="1"/>
    <col min="824" max="824" width="12.28515625" style="2" customWidth="1"/>
    <col min="825" max="825" width="12" style="2"/>
    <col min="826" max="826" width="9.42578125" style="2" customWidth="1"/>
    <col min="827" max="828" width="12" style="2"/>
    <col min="829" max="830" width="14.42578125" style="2" customWidth="1"/>
    <col min="831" max="831" width="14.28515625" style="2" customWidth="1"/>
    <col min="832" max="832" width="12.7109375" style="2" customWidth="1"/>
    <col min="833" max="837" width="12" style="2"/>
    <col min="838" max="838" width="14.28515625" style="2" bestFit="1" customWidth="1"/>
    <col min="839" max="1024" width="12" style="2"/>
    <col min="1025" max="1025" width="8" style="2" bestFit="1" customWidth="1"/>
    <col min="1026" max="1028" width="6" style="2" customWidth="1"/>
    <col min="1029" max="1029" width="7.140625" style="2" bestFit="1" customWidth="1"/>
    <col min="1030" max="1031" width="7.140625" style="2" customWidth="1"/>
    <col min="1032" max="1034" width="8.28515625" style="2" customWidth="1"/>
    <col min="1035" max="1035" width="7.140625" style="2" bestFit="1" customWidth="1"/>
    <col min="1036" max="1036" width="6" style="2" customWidth="1"/>
    <col min="1037" max="1037" width="9.42578125" style="2" customWidth="1"/>
    <col min="1038" max="1038" width="8.140625" style="2" bestFit="1" customWidth="1"/>
    <col min="1039" max="1039" width="8.85546875" style="2" bestFit="1" customWidth="1"/>
    <col min="1040" max="1040" width="9.140625" style="2" bestFit="1" customWidth="1"/>
    <col min="1041" max="1041" width="45.140625" style="2" bestFit="1" customWidth="1"/>
    <col min="1042" max="1042" width="2.140625" style="2" customWidth="1"/>
    <col min="1043" max="1043" width="8" style="2" bestFit="1" customWidth="1"/>
    <col min="1044" max="1044" width="6.85546875" style="2" customWidth="1"/>
    <col min="1045" max="1046" width="7.42578125" style="2" customWidth="1"/>
    <col min="1047" max="1048" width="8" style="2" customWidth="1"/>
    <col min="1049" max="1049" width="7.42578125" style="2" customWidth="1"/>
    <col min="1050" max="1050" width="7.5703125" style="2" customWidth="1"/>
    <col min="1051" max="1052" width="7.42578125" style="2" customWidth="1"/>
    <col min="1053" max="1053" width="11.140625" style="2" bestFit="1" customWidth="1"/>
    <col min="1054" max="1054" width="7.7109375" style="2" customWidth="1"/>
    <col min="1055" max="1055" width="8" style="2" customWidth="1"/>
    <col min="1056" max="1057" width="7.85546875" style="2" customWidth="1"/>
    <col min="1058" max="1059" width="7.28515625" style="2" customWidth="1"/>
    <col min="1060" max="1060" width="8" style="2" customWidth="1"/>
    <col min="1061" max="1061" width="7.85546875" style="2" customWidth="1"/>
    <col min="1062" max="1062" width="6.7109375" style="2" bestFit="1" customWidth="1"/>
    <col min="1063" max="1063" width="9.28515625" style="2" bestFit="1" customWidth="1"/>
    <col min="1064" max="1064" width="10.7109375" style="2" customWidth="1"/>
    <col min="1065" max="1065" width="9.7109375" style="2" bestFit="1" customWidth="1"/>
    <col min="1066" max="1066" width="11.85546875" style="2" bestFit="1" customWidth="1"/>
    <col min="1067" max="1067" width="10.7109375" style="2" bestFit="1" customWidth="1"/>
    <col min="1068" max="1068" width="7.28515625" style="2" bestFit="1" customWidth="1"/>
    <col min="1069" max="1069" width="9.7109375" style="2" bestFit="1" customWidth="1"/>
    <col min="1070" max="1070" width="9.140625" style="2" bestFit="1" customWidth="1"/>
    <col min="1071" max="1071" width="8.5703125" style="2" bestFit="1" customWidth="1"/>
    <col min="1072" max="1072" width="101.140625" style="2" customWidth="1"/>
    <col min="1073" max="1073" width="8.85546875" style="2" bestFit="1" customWidth="1"/>
    <col min="1074" max="1074" width="9.85546875" style="2" customWidth="1"/>
    <col min="1075" max="1075" width="4.42578125" style="2" customWidth="1"/>
    <col min="1076" max="1076" width="11.5703125" style="2" customWidth="1"/>
    <col min="1077" max="1077" width="12" style="2"/>
    <col min="1078" max="1078" width="14.42578125" style="2" bestFit="1" customWidth="1"/>
    <col min="1079" max="1079" width="10.42578125" style="2" customWidth="1"/>
    <col min="1080" max="1080" width="12.28515625" style="2" customWidth="1"/>
    <col min="1081" max="1081" width="12" style="2"/>
    <col min="1082" max="1082" width="9.42578125" style="2" customWidth="1"/>
    <col min="1083" max="1084" width="12" style="2"/>
    <col min="1085" max="1086" width="14.42578125" style="2" customWidth="1"/>
    <col min="1087" max="1087" width="14.28515625" style="2" customWidth="1"/>
    <col min="1088" max="1088" width="12.7109375" style="2" customWidth="1"/>
    <col min="1089" max="1093" width="12" style="2"/>
    <col min="1094" max="1094" width="14.28515625" style="2" bestFit="1" customWidth="1"/>
    <col min="1095" max="1280" width="12" style="2"/>
    <col min="1281" max="1281" width="8" style="2" bestFit="1" customWidth="1"/>
    <col min="1282" max="1284" width="6" style="2" customWidth="1"/>
    <col min="1285" max="1285" width="7.140625" style="2" bestFit="1" customWidth="1"/>
    <col min="1286" max="1287" width="7.140625" style="2" customWidth="1"/>
    <col min="1288" max="1290" width="8.28515625" style="2" customWidth="1"/>
    <col min="1291" max="1291" width="7.140625" style="2" bestFit="1" customWidth="1"/>
    <col min="1292" max="1292" width="6" style="2" customWidth="1"/>
    <col min="1293" max="1293" width="9.42578125" style="2" customWidth="1"/>
    <col min="1294" max="1294" width="8.140625" style="2" bestFit="1" customWidth="1"/>
    <col min="1295" max="1295" width="8.85546875" style="2" bestFit="1" customWidth="1"/>
    <col min="1296" max="1296" width="9.140625" style="2" bestFit="1" customWidth="1"/>
    <col min="1297" max="1297" width="45.140625" style="2" bestFit="1" customWidth="1"/>
    <col min="1298" max="1298" width="2.140625" style="2" customWidth="1"/>
    <col min="1299" max="1299" width="8" style="2" bestFit="1" customWidth="1"/>
    <col min="1300" max="1300" width="6.85546875" style="2" customWidth="1"/>
    <col min="1301" max="1302" width="7.42578125" style="2" customWidth="1"/>
    <col min="1303" max="1304" width="8" style="2" customWidth="1"/>
    <col min="1305" max="1305" width="7.42578125" style="2" customWidth="1"/>
    <col min="1306" max="1306" width="7.5703125" style="2" customWidth="1"/>
    <col min="1307" max="1308" width="7.42578125" style="2" customWidth="1"/>
    <col min="1309" max="1309" width="11.140625" style="2" bestFit="1" customWidth="1"/>
    <col min="1310" max="1310" width="7.7109375" style="2" customWidth="1"/>
    <col min="1311" max="1311" width="8" style="2" customWidth="1"/>
    <col min="1312" max="1313" width="7.85546875" style="2" customWidth="1"/>
    <col min="1314" max="1315" width="7.28515625" style="2" customWidth="1"/>
    <col min="1316" max="1316" width="8" style="2" customWidth="1"/>
    <col min="1317" max="1317" width="7.85546875" style="2" customWidth="1"/>
    <col min="1318" max="1318" width="6.7109375" style="2" bestFit="1" customWidth="1"/>
    <col min="1319" max="1319" width="9.28515625" style="2" bestFit="1" customWidth="1"/>
    <col min="1320" max="1320" width="10.7109375" style="2" customWidth="1"/>
    <col min="1321" max="1321" width="9.7109375" style="2" bestFit="1" customWidth="1"/>
    <col min="1322" max="1322" width="11.85546875" style="2" bestFit="1" customWidth="1"/>
    <col min="1323" max="1323" width="10.7109375" style="2" bestFit="1" customWidth="1"/>
    <col min="1324" max="1324" width="7.28515625" style="2" bestFit="1" customWidth="1"/>
    <col min="1325" max="1325" width="9.7109375" style="2" bestFit="1" customWidth="1"/>
    <col min="1326" max="1326" width="9.140625" style="2" bestFit="1" customWidth="1"/>
    <col min="1327" max="1327" width="8.5703125" style="2" bestFit="1" customWidth="1"/>
    <col min="1328" max="1328" width="101.140625" style="2" customWidth="1"/>
    <col min="1329" max="1329" width="8.85546875" style="2" bestFit="1" customWidth="1"/>
    <col min="1330" max="1330" width="9.85546875" style="2" customWidth="1"/>
    <col min="1331" max="1331" width="4.42578125" style="2" customWidth="1"/>
    <col min="1332" max="1332" width="11.5703125" style="2" customWidth="1"/>
    <col min="1333" max="1333" width="12" style="2"/>
    <col min="1334" max="1334" width="14.42578125" style="2" bestFit="1" customWidth="1"/>
    <col min="1335" max="1335" width="10.42578125" style="2" customWidth="1"/>
    <col min="1336" max="1336" width="12.28515625" style="2" customWidth="1"/>
    <col min="1337" max="1337" width="12" style="2"/>
    <col min="1338" max="1338" width="9.42578125" style="2" customWidth="1"/>
    <col min="1339" max="1340" width="12" style="2"/>
    <col min="1341" max="1342" width="14.42578125" style="2" customWidth="1"/>
    <col min="1343" max="1343" width="14.28515625" style="2" customWidth="1"/>
    <col min="1344" max="1344" width="12.7109375" style="2" customWidth="1"/>
    <col min="1345" max="1349" width="12" style="2"/>
    <col min="1350" max="1350" width="14.28515625" style="2" bestFit="1" customWidth="1"/>
    <col min="1351" max="1536" width="12" style="2"/>
    <col min="1537" max="1537" width="8" style="2" bestFit="1" customWidth="1"/>
    <col min="1538" max="1540" width="6" style="2" customWidth="1"/>
    <col min="1541" max="1541" width="7.140625" style="2" bestFit="1" customWidth="1"/>
    <col min="1542" max="1543" width="7.140625" style="2" customWidth="1"/>
    <col min="1544" max="1546" width="8.28515625" style="2" customWidth="1"/>
    <col min="1547" max="1547" width="7.140625" style="2" bestFit="1" customWidth="1"/>
    <col min="1548" max="1548" width="6" style="2" customWidth="1"/>
    <col min="1549" max="1549" width="9.42578125" style="2" customWidth="1"/>
    <col min="1550" max="1550" width="8.140625" style="2" bestFit="1" customWidth="1"/>
    <col min="1551" max="1551" width="8.85546875" style="2" bestFit="1" customWidth="1"/>
    <col min="1552" max="1552" width="9.140625" style="2" bestFit="1" customWidth="1"/>
    <col min="1553" max="1553" width="45.140625" style="2" bestFit="1" customWidth="1"/>
    <col min="1554" max="1554" width="2.140625" style="2" customWidth="1"/>
    <col min="1555" max="1555" width="8" style="2" bestFit="1" customWidth="1"/>
    <col min="1556" max="1556" width="6.85546875" style="2" customWidth="1"/>
    <col min="1557" max="1558" width="7.42578125" style="2" customWidth="1"/>
    <col min="1559" max="1560" width="8" style="2" customWidth="1"/>
    <col min="1561" max="1561" width="7.42578125" style="2" customWidth="1"/>
    <col min="1562" max="1562" width="7.5703125" style="2" customWidth="1"/>
    <col min="1563" max="1564" width="7.42578125" style="2" customWidth="1"/>
    <col min="1565" max="1565" width="11.140625" style="2" bestFit="1" customWidth="1"/>
    <col min="1566" max="1566" width="7.7109375" style="2" customWidth="1"/>
    <col min="1567" max="1567" width="8" style="2" customWidth="1"/>
    <col min="1568" max="1569" width="7.85546875" style="2" customWidth="1"/>
    <col min="1570" max="1571" width="7.28515625" style="2" customWidth="1"/>
    <col min="1572" max="1572" width="8" style="2" customWidth="1"/>
    <col min="1573" max="1573" width="7.85546875" style="2" customWidth="1"/>
    <col min="1574" max="1574" width="6.7109375" style="2" bestFit="1" customWidth="1"/>
    <col min="1575" max="1575" width="9.28515625" style="2" bestFit="1" customWidth="1"/>
    <col min="1576" max="1576" width="10.7109375" style="2" customWidth="1"/>
    <col min="1577" max="1577" width="9.7109375" style="2" bestFit="1" customWidth="1"/>
    <col min="1578" max="1578" width="11.85546875" style="2" bestFit="1" customWidth="1"/>
    <col min="1579" max="1579" width="10.7109375" style="2" bestFit="1" customWidth="1"/>
    <col min="1580" max="1580" width="7.28515625" style="2" bestFit="1" customWidth="1"/>
    <col min="1581" max="1581" width="9.7109375" style="2" bestFit="1" customWidth="1"/>
    <col min="1582" max="1582" width="9.140625" style="2" bestFit="1" customWidth="1"/>
    <col min="1583" max="1583" width="8.5703125" style="2" bestFit="1" customWidth="1"/>
    <col min="1584" max="1584" width="101.140625" style="2" customWidth="1"/>
    <col min="1585" max="1585" width="8.85546875" style="2" bestFit="1" customWidth="1"/>
    <col min="1586" max="1586" width="9.85546875" style="2" customWidth="1"/>
    <col min="1587" max="1587" width="4.42578125" style="2" customWidth="1"/>
    <col min="1588" max="1588" width="11.5703125" style="2" customWidth="1"/>
    <col min="1589" max="1589" width="12" style="2"/>
    <col min="1590" max="1590" width="14.42578125" style="2" bestFit="1" customWidth="1"/>
    <col min="1591" max="1591" width="10.42578125" style="2" customWidth="1"/>
    <col min="1592" max="1592" width="12.28515625" style="2" customWidth="1"/>
    <col min="1593" max="1593" width="12" style="2"/>
    <col min="1594" max="1594" width="9.42578125" style="2" customWidth="1"/>
    <col min="1595" max="1596" width="12" style="2"/>
    <col min="1597" max="1598" width="14.42578125" style="2" customWidth="1"/>
    <col min="1599" max="1599" width="14.28515625" style="2" customWidth="1"/>
    <col min="1600" max="1600" width="12.7109375" style="2" customWidth="1"/>
    <col min="1601" max="1605" width="12" style="2"/>
    <col min="1606" max="1606" width="14.28515625" style="2" bestFit="1" customWidth="1"/>
    <col min="1607" max="1792" width="12" style="2"/>
    <col min="1793" max="1793" width="8" style="2" bestFit="1" customWidth="1"/>
    <col min="1794" max="1796" width="6" style="2" customWidth="1"/>
    <col min="1797" max="1797" width="7.140625" style="2" bestFit="1" customWidth="1"/>
    <col min="1798" max="1799" width="7.140625" style="2" customWidth="1"/>
    <col min="1800" max="1802" width="8.28515625" style="2" customWidth="1"/>
    <col min="1803" max="1803" width="7.140625" style="2" bestFit="1" customWidth="1"/>
    <col min="1804" max="1804" width="6" style="2" customWidth="1"/>
    <col min="1805" max="1805" width="9.42578125" style="2" customWidth="1"/>
    <col min="1806" max="1806" width="8.140625" style="2" bestFit="1" customWidth="1"/>
    <col min="1807" max="1807" width="8.85546875" style="2" bestFit="1" customWidth="1"/>
    <col min="1808" max="1808" width="9.140625" style="2" bestFit="1" customWidth="1"/>
    <col min="1809" max="1809" width="45.140625" style="2" bestFit="1" customWidth="1"/>
    <col min="1810" max="1810" width="2.140625" style="2" customWidth="1"/>
    <col min="1811" max="1811" width="8" style="2" bestFit="1" customWidth="1"/>
    <col min="1812" max="1812" width="6.85546875" style="2" customWidth="1"/>
    <col min="1813" max="1814" width="7.42578125" style="2" customWidth="1"/>
    <col min="1815" max="1816" width="8" style="2" customWidth="1"/>
    <col min="1817" max="1817" width="7.42578125" style="2" customWidth="1"/>
    <col min="1818" max="1818" width="7.5703125" style="2" customWidth="1"/>
    <col min="1819" max="1820" width="7.42578125" style="2" customWidth="1"/>
    <col min="1821" max="1821" width="11.140625" style="2" bestFit="1" customWidth="1"/>
    <col min="1822" max="1822" width="7.7109375" style="2" customWidth="1"/>
    <col min="1823" max="1823" width="8" style="2" customWidth="1"/>
    <col min="1824" max="1825" width="7.85546875" style="2" customWidth="1"/>
    <col min="1826" max="1827" width="7.28515625" style="2" customWidth="1"/>
    <col min="1828" max="1828" width="8" style="2" customWidth="1"/>
    <col min="1829" max="1829" width="7.85546875" style="2" customWidth="1"/>
    <col min="1830" max="1830" width="6.7109375" style="2" bestFit="1" customWidth="1"/>
    <col min="1831" max="1831" width="9.28515625" style="2" bestFit="1" customWidth="1"/>
    <col min="1832" max="1832" width="10.7109375" style="2" customWidth="1"/>
    <col min="1833" max="1833" width="9.7109375" style="2" bestFit="1" customWidth="1"/>
    <col min="1834" max="1834" width="11.85546875" style="2" bestFit="1" customWidth="1"/>
    <col min="1835" max="1835" width="10.7109375" style="2" bestFit="1" customWidth="1"/>
    <col min="1836" max="1836" width="7.28515625" style="2" bestFit="1" customWidth="1"/>
    <col min="1837" max="1837" width="9.7109375" style="2" bestFit="1" customWidth="1"/>
    <col min="1838" max="1838" width="9.140625" style="2" bestFit="1" customWidth="1"/>
    <col min="1839" max="1839" width="8.5703125" style="2" bestFit="1" customWidth="1"/>
    <col min="1840" max="1840" width="101.140625" style="2" customWidth="1"/>
    <col min="1841" max="1841" width="8.85546875" style="2" bestFit="1" customWidth="1"/>
    <col min="1842" max="1842" width="9.85546875" style="2" customWidth="1"/>
    <col min="1843" max="1843" width="4.42578125" style="2" customWidth="1"/>
    <col min="1844" max="1844" width="11.5703125" style="2" customWidth="1"/>
    <col min="1845" max="1845" width="12" style="2"/>
    <col min="1846" max="1846" width="14.42578125" style="2" bestFit="1" customWidth="1"/>
    <col min="1847" max="1847" width="10.42578125" style="2" customWidth="1"/>
    <col min="1848" max="1848" width="12.28515625" style="2" customWidth="1"/>
    <col min="1849" max="1849" width="12" style="2"/>
    <col min="1850" max="1850" width="9.42578125" style="2" customWidth="1"/>
    <col min="1851" max="1852" width="12" style="2"/>
    <col min="1853" max="1854" width="14.42578125" style="2" customWidth="1"/>
    <col min="1855" max="1855" width="14.28515625" style="2" customWidth="1"/>
    <col min="1856" max="1856" width="12.7109375" style="2" customWidth="1"/>
    <col min="1857" max="1861" width="12" style="2"/>
    <col min="1862" max="1862" width="14.28515625" style="2" bestFit="1" customWidth="1"/>
    <col min="1863" max="2048" width="12" style="2"/>
    <col min="2049" max="2049" width="8" style="2" bestFit="1" customWidth="1"/>
    <col min="2050" max="2052" width="6" style="2" customWidth="1"/>
    <col min="2053" max="2053" width="7.140625" style="2" bestFit="1" customWidth="1"/>
    <col min="2054" max="2055" width="7.140625" style="2" customWidth="1"/>
    <col min="2056" max="2058" width="8.28515625" style="2" customWidth="1"/>
    <col min="2059" max="2059" width="7.140625" style="2" bestFit="1" customWidth="1"/>
    <col min="2060" max="2060" width="6" style="2" customWidth="1"/>
    <col min="2061" max="2061" width="9.42578125" style="2" customWidth="1"/>
    <col min="2062" max="2062" width="8.140625" style="2" bestFit="1" customWidth="1"/>
    <col min="2063" max="2063" width="8.85546875" style="2" bestFit="1" customWidth="1"/>
    <col min="2064" max="2064" width="9.140625" style="2" bestFit="1" customWidth="1"/>
    <col min="2065" max="2065" width="45.140625" style="2" bestFit="1" customWidth="1"/>
    <col min="2066" max="2066" width="2.140625" style="2" customWidth="1"/>
    <col min="2067" max="2067" width="8" style="2" bestFit="1" customWidth="1"/>
    <col min="2068" max="2068" width="6.85546875" style="2" customWidth="1"/>
    <col min="2069" max="2070" width="7.42578125" style="2" customWidth="1"/>
    <col min="2071" max="2072" width="8" style="2" customWidth="1"/>
    <col min="2073" max="2073" width="7.42578125" style="2" customWidth="1"/>
    <col min="2074" max="2074" width="7.5703125" style="2" customWidth="1"/>
    <col min="2075" max="2076" width="7.42578125" style="2" customWidth="1"/>
    <col min="2077" max="2077" width="11.140625" style="2" bestFit="1" customWidth="1"/>
    <col min="2078" max="2078" width="7.7109375" style="2" customWidth="1"/>
    <col min="2079" max="2079" width="8" style="2" customWidth="1"/>
    <col min="2080" max="2081" width="7.85546875" style="2" customWidth="1"/>
    <col min="2082" max="2083" width="7.28515625" style="2" customWidth="1"/>
    <col min="2084" max="2084" width="8" style="2" customWidth="1"/>
    <col min="2085" max="2085" width="7.85546875" style="2" customWidth="1"/>
    <col min="2086" max="2086" width="6.7109375" style="2" bestFit="1" customWidth="1"/>
    <col min="2087" max="2087" width="9.28515625" style="2" bestFit="1" customWidth="1"/>
    <col min="2088" max="2088" width="10.7109375" style="2" customWidth="1"/>
    <col min="2089" max="2089" width="9.7109375" style="2" bestFit="1" customWidth="1"/>
    <col min="2090" max="2090" width="11.85546875" style="2" bestFit="1" customWidth="1"/>
    <col min="2091" max="2091" width="10.7109375" style="2" bestFit="1" customWidth="1"/>
    <col min="2092" max="2092" width="7.28515625" style="2" bestFit="1" customWidth="1"/>
    <col min="2093" max="2093" width="9.7109375" style="2" bestFit="1" customWidth="1"/>
    <col min="2094" max="2094" width="9.140625" style="2" bestFit="1" customWidth="1"/>
    <col min="2095" max="2095" width="8.5703125" style="2" bestFit="1" customWidth="1"/>
    <col min="2096" max="2096" width="101.140625" style="2" customWidth="1"/>
    <col min="2097" max="2097" width="8.85546875" style="2" bestFit="1" customWidth="1"/>
    <col min="2098" max="2098" width="9.85546875" style="2" customWidth="1"/>
    <col min="2099" max="2099" width="4.42578125" style="2" customWidth="1"/>
    <col min="2100" max="2100" width="11.5703125" style="2" customWidth="1"/>
    <col min="2101" max="2101" width="12" style="2"/>
    <col min="2102" max="2102" width="14.42578125" style="2" bestFit="1" customWidth="1"/>
    <col min="2103" max="2103" width="10.42578125" style="2" customWidth="1"/>
    <col min="2104" max="2104" width="12.28515625" style="2" customWidth="1"/>
    <col min="2105" max="2105" width="12" style="2"/>
    <col min="2106" max="2106" width="9.42578125" style="2" customWidth="1"/>
    <col min="2107" max="2108" width="12" style="2"/>
    <col min="2109" max="2110" width="14.42578125" style="2" customWidth="1"/>
    <col min="2111" max="2111" width="14.28515625" style="2" customWidth="1"/>
    <col min="2112" max="2112" width="12.7109375" style="2" customWidth="1"/>
    <col min="2113" max="2117" width="12" style="2"/>
    <col min="2118" max="2118" width="14.28515625" style="2" bestFit="1" customWidth="1"/>
    <col min="2119" max="2304" width="12" style="2"/>
    <col min="2305" max="2305" width="8" style="2" bestFit="1" customWidth="1"/>
    <col min="2306" max="2308" width="6" style="2" customWidth="1"/>
    <col min="2309" max="2309" width="7.140625" style="2" bestFit="1" customWidth="1"/>
    <col min="2310" max="2311" width="7.140625" style="2" customWidth="1"/>
    <col min="2312" max="2314" width="8.28515625" style="2" customWidth="1"/>
    <col min="2315" max="2315" width="7.140625" style="2" bestFit="1" customWidth="1"/>
    <col min="2316" max="2316" width="6" style="2" customWidth="1"/>
    <col min="2317" max="2317" width="9.42578125" style="2" customWidth="1"/>
    <col min="2318" max="2318" width="8.140625" style="2" bestFit="1" customWidth="1"/>
    <col min="2319" max="2319" width="8.85546875" style="2" bestFit="1" customWidth="1"/>
    <col min="2320" max="2320" width="9.140625" style="2" bestFit="1" customWidth="1"/>
    <col min="2321" max="2321" width="45.140625" style="2" bestFit="1" customWidth="1"/>
    <col min="2322" max="2322" width="2.140625" style="2" customWidth="1"/>
    <col min="2323" max="2323" width="8" style="2" bestFit="1" customWidth="1"/>
    <col min="2324" max="2324" width="6.85546875" style="2" customWidth="1"/>
    <col min="2325" max="2326" width="7.42578125" style="2" customWidth="1"/>
    <col min="2327" max="2328" width="8" style="2" customWidth="1"/>
    <col min="2329" max="2329" width="7.42578125" style="2" customWidth="1"/>
    <col min="2330" max="2330" width="7.5703125" style="2" customWidth="1"/>
    <col min="2331" max="2332" width="7.42578125" style="2" customWidth="1"/>
    <col min="2333" max="2333" width="11.140625" style="2" bestFit="1" customWidth="1"/>
    <col min="2334" max="2334" width="7.7109375" style="2" customWidth="1"/>
    <col min="2335" max="2335" width="8" style="2" customWidth="1"/>
    <col min="2336" max="2337" width="7.85546875" style="2" customWidth="1"/>
    <col min="2338" max="2339" width="7.28515625" style="2" customWidth="1"/>
    <col min="2340" max="2340" width="8" style="2" customWidth="1"/>
    <col min="2341" max="2341" width="7.85546875" style="2" customWidth="1"/>
    <col min="2342" max="2342" width="6.7109375" style="2" bestFit="1" customWidth="1"/>
    <col min="2343" max="2343" width="9.28515625" style="2" bestFit="1" customWidth="1"/>
    <col min="2344" max="2344" width="10.7109375" style="2" customWidth="1"/>
    <col min="2345" max="2345" width="9.7109375" style="2" bestFit="1" customWidth="1"/>
    <col min="2346" max="2346" width="11.85546875" style="2" bestFit="1" customWidth="1"/>
    <col min="2347" max="2347" width="10.7109375" style="2" bestFit="1" customWidth="1"/>
    <col min="2348" max="2348" width="7.28515625" style="2" bestFit="1" customWidth="1"/>
    <col min="2349" max="2349" width="9.7109375" style="2" bestFit="1" customWidth="1"/>
    <col min="2350" max="2350" width="9.140625" style="2" bestFit="1" customWidth="1"/>
    <col min="2351" max="2351" width="8.5703125" style="2" bestFit="1" customWidth="1"/>
    <col min="2352" max="2352" width="101.140625" style="2" customWidth="1"/>
    <col min="2353" max="2353" width="8.85546875" style="2" bestFit="1" customWidth="1"/>
    <col min="2354" max="2354" width="9.85546875" style="2" customWidth="1"/>
    <col min="2355" max="2355" width="4.42578125" style="2" customWidth="1"/>
    <col min="2356" max="2356" width="11.5703125" style="2" customWidth="1"/>
    <col min="2357" max="2357" width="12" style="2"/>
    <col min="2358" max="2358" width="14.42578125" style="2" bestFit="1" customWidth="1"/>
    <col min="2359" max="2359" width="10.42578125" style="2" customWidth="1"/>
    <col min="2360" max="2360" width="12.28515625" style="2" customWidth="1"/>
    <col min="2361" max="2361" width="12" style="2"/>
    <col min="2362" max="2362" width="9.42578125" style="2" customWidth="1"/>
    <col min="2363" max="2364" width="12" style="2"/>
    <col min="2365" max="2366" width="14.42578125" style="2" customWidth="1"/>
    <col min="2367" max="2367" width="14.28515625" style="2" customWidth="1"/>
    <col min="2368" max="2368" width="12.7109375" style="2" customWidth="1"/>
    <col min="2369" max="2373" width="12" style="2"/>
    <col min="2374" max="2374" width="14.28515625" style="2" bestFit="1" customWidth="1"/>
    <col min="2375" max="2560" width="12" style="2"/>
    <col min="2561" max="2561" width="8" style="2" bestFit="1" customWidth="1"/>
    <col min="2562" max="2564" width="6" style="2" customWidth="1"/>
    <col min="2565" max="2565" width="7.140625" style="2" bestFit="1" customWidth="1"/>
    <col min="2566" max="2567" width="7.140625" style="2" customWidth="1"/>
    <col min="2568" max="2570" width="8.28515625" style="2" customWidth="1"/>
    <col min="2571" max="2571" width="7.140625" style="2" bestFit="1" customWidth="1"/>
    <col min="2572" max="2572" width="6" style="2" customWidth="1"/>
    <col min="2573" max="2573" width="9.42578125" style="2" customWidth="1"/>
    <col min="2574" max="2574" width="8.140625" style="2" bestFit="1" customWidth="1"/>
    <col min="2575" max="2575" width="8.85546875" style="2" bestFit="1" customWidth="1"/>
    <col min="2576" max="2576" width="9.140625" style="2" bestFit="1" customWidth="1"/>
    <col min="2577" max="2577" width="45.140625" style="2" bestFit="1" customWidth="1"/>
    <col min="2578" max="2578" width="2.140625" style="2" customWidth="1"/>
    <col min="2579" max="2579" width="8" style="2" bestFit="1" customWidth="1"/>
    <col min="2580" max="2580" width="6.85546875" style="2" customWidth="1"/>
    <col min="2581" max="2582" width="7.42578125" style="2" customWidth="1"/>
    <col min="2583" max="2584" width="8" style="2" customWidth="1"/>
    <col min="2585" max="2585" width="7.42578125" style="2" customWidth="1"/>
    <col min="2586" max="2586" width="7.5703125" style="2" customWidth="1"/>
    <col min="2587" max="2588" width="7.42578125" style="2" customWidth="1"/>
    <col min="2589" max="2589" width="11.140625" style="2" bestFit="1" customWidth="1"/>
    <col min="2590" max="2590" width="7.7109375" style="2" customWidth="1"/>
    <col min="2591" max="2591" width="8" style="2" customWidth="1"/>
    <col min="2592" max="2593" width="7.85546875" style="2" customWidth="1"/>
    <col min="2594" max="2595" width="7.28515625" style="2" customWidth="1"/>
    <col min="2596" max="2596" width="8" style="2" customWidth="1"/>
    <col min="2597" max="2597" width="7.85546875" style="2" customWidth="1"/>
    <col min="2598" max="2598" width="6.7109375" style="2" bestFit="1" customWidth="1"/>
    <col min="2599" max="2599" width="9.28515625" style="2" bestFit="1" customWidth="1"/>
    <col min="2600" max="2600" width="10.7109375" style="2" customWidth="1"/>
    <col min="2601" max="2601" width="9.7109375" style="2" bestFit="1" customWidth="1"/>
    <col min="2602" max="2602" width="11.85546875" style="2" bestFit="1" customWidth="1"/>
    <col min="2603" max="2603" width="10.7109375" style="2" bestFit="1" customWidth="1"/>
    <col min="2604" max="2604" width="7.28515625" style="2" bestFit="1" customWidth="1"/>
    <col min="2605" max="2605" width="9.7109375" style="2" bestFit="1" customWidth="1"/>
    <col min="2606" max="2606" width="9.140625" style="2" bestFit="1" customWidth="1"/>
    <col min="2607" max="2607" width="8.5703125" style="2" bestFit="1" customWidth="1"/>
    <col min="2608" max="2608" width="101.140625" style="2" customWidth="1"/>
    <col min="2609" max="2609" width="8.85546875" style="2" bestFit="1" customWidth="1"/>
    <col min="2610" max="2610" width="9.85546875" style="2" customWidth="1"/>
    <col min="2611" max="2611" width="4.42578125" style="2" customWidth="1"/>
    <col min="2612" max="2612" width="11.5703125" style="2" customWidth="1"/>
    <col min="2613" max="2613" width="12" style="2"/>
    <col min="2614" max="2614" width="14.42578125" style="2" bestFit="1" customWidth="1"/>
    <col min="2615" max="2615" width="10.42578125" style="2" customWidth="1"/>
    <col min="2616" max="2616" width="12.28515625" style="2" customWidth="1"/>
    <col min="2617" max="2617" width="12" style="2"/>
    <col min="2618" max="2618" width="9.42578125" style="2" customWidth="1"/>
    <col min="2619" max="2620" width="12" style="2"/>
    <col min="2621" max="2622" width="14.42578125" style="2" customWidth="1"/>
    <col min="2623" max="2623" width="14.28515625" style="2" customWidth="1"/>
    <col min="2624" max="2624" width="12.7109375" style="2" customWidth="1"/>
    <col min="2625" max="2629" width="12" style="2"/>
    <col min="2630" max="2630" width="14.28515625" style="2" bestFit="1" customWidth="1"/>
    <col min="2631" max="2816" width="12" style="2"/>
    <col min="2817" max="2817" width="8" style="2" bestFit="1" customWidth="1"/>
    <col min="2818" max="2820" width="6" style="2" customWidth="1"/>
    <col min="2821" max="2821" width="7.140625" style="2" bestFit="1" customWidth="1"/>
    <col min="2822" max="2823" width="7.140625" style="2" customWidth="1"/>
    <col min="2824" max="2826" width="8.28515625" style="2" customWidth="1"/>
    <col min="2827" max="2827" width="7.140625" style="2" bestFit="1" customWidth="1"/>
    <col min="2828" max="2828" width="6" style="2" customWidth="1"/>
    <col min="2829" max="2829" width="9.42578125" style="2" customWidth="1"/>
    <col min="2830" max="2830" width="8.140625" style="2" bestFit="1" customWidth="1"/>
    <col min="2831" max="2831" width="8.85546875" style="2" bestFit="1" customWidth="1"/>
    <col min="2832" max="2832" width="9.140625" style="2" bestFit="1" customWidth="1"/>
    <col min="2833" max="2833" width="45.140625" style="2" bestFit="1" customWidth="1"/>
    <col min="2834" max="2834" width="2.140625" style="2" customWidth="1"/>
    <col min="2835" max="2835" width="8" style="2" bestFit="1" customWidth="1"/>
    <col min="2836" max="2836" width="6.85546875" style="2" customWidth="1"/>
    <col min="2837" max="2838" width="7.42578125" style="2" customWidth="1"/>
    <col min="2839" max="2840" width="8" style="2" customWidth="1"/>
    <col min="2841" max="2841" width="7.42578125" style="2" customWidth="1"/>
    <col min="2842" max="2842" width="7.5703125" style="2" customWidth="1"/>
    <col min="2843" max="2844" width="7.42578125" style="2" customWidth="1"/>
    <col min="2845" max="2845" width="11.140625" style="2" bestFit="1" customWidth="1"/>
    <col min="2846" max="2846" width="7.7109375" style="2" customWidth="1"/>
    <col min="2847" max="2847" width="8" style="2" customWidth="1"/>
    <col min="2848" max="2849" width="7.85546875" style="2" customWidth="1"/>
    <col min="2850" max="2851" width="7.28515625" style="2" customWidth="1"/>
    <col min="2852" max="2852" width="8" style="2" customWidth="1"/>
    <col min="2853" max="2853" width="7.85546875" style="2" customWidth="1"/>
    <col min="2854" max="2854" width="6.7109375" style="2" bestFit="1" customWidth="1"/>
    <col min="2855" max="2855" width="9.28515625" style="2" bestFit="1" customWidth="1"/>
    <col min="2856" max="2856" width="10.7109375" style="2" customWidth="1"/>
    <col min="2857" max="2857" width="9.7109375" style="2" bestFit="1" customWidth="1"/>
    <col min="2858" max="2858" width="11.85546875" style="2" bestFit="1" customWidth="1"/>
    <col min="2859" max="2859" width="10.7109375" style="2" bestFit="1" customWidth="1"/>
    <col min="2860" max="2860" width="7.28515625" style="2" bestFit="1" customWidth="1"/>
    <col min="2861" max="2861" width="9.7109375" style="2" bestFit="1" customWidth="1"/>
    <col min="2862" max="2862" width="9.140625" style="2" bestFit="1" customWidth="1"/>
    <col min="2863" max="2863" width="8.5703125" style="2" bestFit="1" customWidth="1"/>
    <col min="2864" max="2864" width="101.140625" style="2" customWidth="1"/>
    <col min="2865" max="2865" width="8.85546875" style="2" bestFit="1" customWidth="1"/>
    <col min="2866" max="2866" width="9.85546875" style="2" customWidth="1"/>
    <col min="2867" max="2867" width="4.42578125" style="2" customWidth="1"/>
    <col min="2868" max="2868" width="11.5703125" style="2" customWidth="1"/>
    <col min="2869" max="2869" width="12" style="2"/>
    <col min="2870" max="2870" width="14.42578125" style="2" bestFit="1" customWidth="1"/>
    <col min="2871" max="2871" width="10.42578125" style="2" customWidth="1"/>
    <col min="2872" max="2872" width="12.28515625" style="2" customWidth="1"/>
    <col min="2873" max="2873" width="12" style="2"/>
    <col min="2874" max="2874" width="9.42578125" style="2" customWidth="1"/>
    <col min="2875" max="2876" width="12" style="2"/>
    <col min="2877" max="2878" width="14.42578125" style="2" customWidth="1"/>
    <col min="2879" max="2879" width="14.28515625" style="2" customWidth="1"/>
    <col min="2880" max="2880" width="12.7109375" style="2" customWidth="1"/>
    <col min="2881" max="2885" width="12" style="2"/>
    <col min="2886" max="2886" width="14.28515625" style="2" bestFit="1" customWidth="1"/>
    <col min="2887" max="3072" width="12" style="2"/>
    <col min="3073" max="3073" width="8" style="2" bestFit="1" customWidth="1"/>
    <col min="3074" max="3076" width="6" style="2" customWidth="1"/>
    <col min="3077" max="3077" width="7.140625" style="2" bestFit="1" customWidth="1"/>
    <col min="3078" max="3079" width="7.140625" style="2" customWidth="1"/>
    <col min="3080" max="3082" width="8.28515625" style="2" customWidth="1"/>
    <col min="3083" max="3083" width="7.140625" style="2" bestFit="1" customWidth="1"/>
    <col min="3084" max="3084" width="6" style="2" customWidth="1"/>
    <col min="3085" max="3085" width="9.42578125" style="2" customWidth="1"/>
    <col min="3086" max="3086" width="8.140625" style="2" bestFit="1" customWidth="1"/>
    <col min="3087" max="3087" width="8.85546875" style="2" bestFit="1" customWidth="1"/>
    <col min="3088" max="3088" width="9.140625" style="2" bestFit="1" customWidth="1"/>
    <col min="3089" max="3089" width="45.140625" style="2" bestFit="1" customWidth="1"/>
    <col min="3090" max="3090" width="2.140625" style="2" customWidth="1"/>
    <col min="3091" max="3091" width="8" style="2" bestFit="1" customWidth="1"/>
    <col min="3092" max="3092" width="6.85546875" style="2" customWidth="1"/>
    <col min="3093" max="3094" width="7.42578125" style="2" customWidth="1"/>
    <col min="3095" max="3096" width="8" style="2" customWidth="1"/>
    <col min="3097" max="3097" width="7.42578125" style="2" customWidth="1"/>
    <col min="3098" max="3098" width="7.5703125" style="2" customWidth="1"/>
    <col min="3099" max="3100" width="7.42578125" style="2" customWidth="1"/>
    <col min="3101" max="3101" width="11.140625" style="2" bestFit="1" customWidth="1"/>
    <col min="3102" max="3102" width="7.7109375" style="2" customWidth="1"/>
    <col min="3103" max="3103" width="8" style="2" customWidth="1"/>
    <col min="3104" max="3105" width="7.85546875" style="2" customWidth="1"/>
    <col min="3106" max="3107" width="7.28515625" style="2" customWidth="1"/>
    <col min="3108" max="3108" width="8" style="2" customWidth="1"/>
    <col min="3109" max="3109" width="7.85546875" style="2" customWidth="1"/>
    <col min="3110" max="3110" width="6.7109375" style="2" bestFit="1" customWidth="1"/>
    <col min="3111" max="3111" width="9.28515625" style="2" bestFit="1" customWidth="1"/>
    <col min="3112" max="3112" width="10.7109375" style="2" customWidth="1"/>
    <col min="3113" max="3113" width="9.7109375" style="2" bestFit="1" customWidth="1"/>
    <col min="3114" max="3114" width="11.85546875" style="2" bestFit="1" customWidth="1"/>
    <col min="3115" max="3115" width="10.7109375" style="2" bestFit="1" customWidth="1"/>
    <col min="3116" max="3116" width="7.28515625" style="2" bestFit="1" customWidth="1"/>
    <col min="3117" max="3117" width="9.7109375" style="2" bestFit="1" customWidth="1"/>
    <col min="3118" max="3118" width="9.140625" style="2" bestFit="1" customWidth="1"/>
    <col min="3119" max="3119" width="8.5703125" style="2" bestFit="1" customWidth="1"/>
    <col min="3120" max="3120" width="101.140625" style="2" customWidth="1"/>
    <col min="3121" max="3121" width="8.85546875" style="2" bestFit="1" customWidth="1"/>
    <col min="3122" max="3122" width="9.85546875" style="2" customWidth="1"/>
    <col min="3123" max="3123" width="4.42578125" style="2" customWidth="1"/>
    <col min="3124" max="3124" width="11.5703125" style="2" customWidth="1"/>
    <col min="3125" max="3125" width="12" style="2"/>
    <col min="3126" max="3126" width="14.42578125" style="2" bestFit="1" customWidth="1"/>
    <col min="3127" max="3127" width="10.42578125" style="2" customWidth="1"/>
    <col min="3128" max="3128" width="12.28515625" style="2" customWidth="1"/>
    <col min="3129" max="3129" width="12" style="2"/>
    <col min="3130" max="3130" width="9.42578125" style="2" customWidth="1"/>
    <col min="3131" max="3132" width="12" style="2"/>
    <col min="3133" max="3134" width="14.42578125" style="2" customWidth="1"/>
    <col min="3135" max="3135" width="14.28515625" style="2" customWidth="1"/>
    <col min="3136" max="3136" width="12.7109375" style="2" customWidth="1"/>
    <col min="3137" max="3141" width="12" style="2"/>
    <col min="3142" max="3142" width="14.28515625" style="2" bestFit="1" customWidth="1"/>
    <col min="3143" max="3328" width="12" style="2"/>
    <col min="3329" max="3329" width="8" style="2" bestFit="1" customWidth="1"/>
    <col min="3330" max="3332" width="6" style="2" customWidth="1"/>
    <col min="3333" max="3333" width="7.140625" style="2" bestFit="1" customWidth="1"/>
    <col min="3334" max="3335" width="7.140625" style="2" customWidth="1"/>
    <col min="3336" max="3338" width="8.28515625" style="2" customWidth="1"/>
    <col min="3339" max="3339" width="7.140625" style="2" bestFit="1" customWidth="1"/>
    <col min="3340" max="3340" width="6" style="2" customWidth="1"/>
    <col min="3341" max="3341" width="9.42578125" style="2" customWidth="1"/>
    <col min="3342" max="3342" width="8.140625" style="2" bestFit="1" customWidth="1"/>
    <col min="3343" max="3343" width="8.85546875" style="2" bestFit="1" customWidth="1"/>
    <col min="3344" max="3344" width="9.140625" style="2" bestFit="1" customWidth="1"/>
    <col min="3345" max="3345" width="45.140625" style="2" bestFit="1" customWidth="1"/>
    <col min="3346" max="3346" width="2.140625" style="2" customWidth="1"/>
    <col min="3347" max="3347" width="8" style="2" bestFit="1" customWidth="1"/>
    <col min="3348" max="3348" width="6.85546875" style="2" customWidth="1"/>
    <col min="3349" max="3350" width="7.42578125" style="2" customWidth="1"/>
    <col min="3351" max="3352" width="8" style="2" customWidth="1"/>
    <col min="3353" max="3353" width="7.42578125" style="2" customWidth="1"/>
    <col min="3354" max="3354" width="7.5703125" style="2" customWidth="1"/>
    <col min="3355" max="3356" width="7.42578125" style="2" customWidth="1"/>
    <col min="3357" max="3357" width="11.140625" style="2" bestFit="1" customWidth="1"/>
    <col min="3358" max="3358" width="7.7109375" style="2" customWidth="1"/>
    <col min="3359" max="3359" width="8" style="2" customWidth="1"/>
    <col min="3360" max="3361" width="7.85546875" style="2" customWidth="1"/>
    <col min="3362" max="3363" width="7.28515625" style="2" customWidth="1"/>
    <col min="3364" max="3364" width="8" style="2" customWidth="1"/>
    <col min="3365" max="3365" width="7.85546875" style="2" customWidth="1"/>
    <col min="3366" max="3366" width="6.7109375" style="2" bestFit="1" customWidth="1"/>
    <col min="3367" max="3367" width="9.28515625" style="2" bestFit="1" customWidth="1"/>
    <col min="3368" max="3368" width="10.7109375" style="2" customWidth="1"/>
    <col min="3369" max="3369" width="9.7109375" style="2" bestFit="1" customWidth="1"/>
    <col min="3370" max="3370" width="11.85546875" style="2" bestFit="1" customWidth="1"/>
    <col min="3371" max="3371" width="10.7109375" style="2" bestFit="1" customWidth="1"/>
    <col min="3372" max="3372" width="7.28515625" style="2" bestFit="1" customWidth="1"/>
    <col min="3373" max="3373" width="9.7109375" style="2" bestFit="1" customWidth="1"/>
    <col min="3374" max="3374" width="9.140625" style="2" bestFit="1" customWidth="1"/>
    <col min="3375" max="3375" width="8.5703125" style="2" bestFit="1" customWidth="1"/>
    <col min="3376" max="3376" width="101.140625" style="2" customWidth="1"/>
    <col min="3377" max="3377" width="8.85546875" style="2" bestFit="1" customWidth="1"/>
    <col min="3378" max="3378" width="9.85546875" style="2" customWidth="1"/>
    <col min="3379" max="3379" width="4.42578125" style="2" customWidth="1"/>
    <col min="3380" max="3380" width="11.5703125" style="2" customWidth="1"/>
    <col min="3381" max="3381" width="12" style="2"/>
    <col min="3382" max="3382" width="14.42578125" style="2" bestFit="1" customWidth="1"/>
    <col min="3383" max="3383" width="10.42578125" style="2" customWidth="1"/>
    <col min="3384" max="3384" width="12.28515625" style="2" customWidth="1"/>
    <col min="3385" max="3385" width="12" style="2"/>
    <col min="3386" max="3386" width="9.42578125" style="2" customWidth="1"/>
    <col min="3387" max="3388" width="12" style="2"/>
    <col min="3389" max="3390" width="14.42578125" style="2" customWidth="1"/>
    <col min="3391" max="3391" width="14.28515625" style="2" customWidth="1"/>
    <col min="3392" max="3392" width="12.7109375" style="2" customWidth="1"/>
    <col min="3393" max="3397" width="12" style="2"/>
    <col min="3398" max="3398" width="14.28515625" style="2" bestFit="1" customWidth="1"/>
    <col min="3399" max="3584" width="12" style="2"/>
    <col min="3585" max="3585" width="8" style="2" bestFit="1" customWidth="1"/>
    <col min="3586" max="3588" width="6" style="2" customWidth="1"/>
    <col min="3589" max="3589" width="7.140625" style="2" bestFit="1" customWidth="1"/>
    <col min="3590" max="3591" width="7.140625" style="2" customWidth="1"/>
    <col min="3592" max="3594" width="8.28515625" style="2" customWidth="1"/>
    <col min="3595" max="3595" width="7.140625" style="2" bestFit="1" customWidth="1"/>
    <col min="3596" max="3596" width="6" style="2" customWidth="1"/>
    <col min="3597" max="3597" width="9.42578125" style="2" customWidth="1"/>
    <col min="3598" max="3598" width="8.140625" style="2" bestFit="1" customWidth="1"/>
    <col min="3599" max="3599" width="8.85546875" style="2" bestFit="1" customWidth="1"/>
    <col min="3600" max="3600" width="9.140625" style="2" bestFit="1" customWidth="1"/>
    <col min="3601" max="3601" width="45.140625" style="2" bestFit="1" customWidth="1"/>
    <col min="3602" max="3602" width="2.140625" style="2" customWidth="1"/>
    <col min="3603" max="3603" width="8" style="2" bestFit="1" customWidth="1"/>
    <col min="3604" max="3604" width="6.85546875" style="2" customWidth="1"/>
    <col min="3605" max="3606" width="7.42578125" style="2" customWidth="1"/>
    <col min="3607" max="3608" width="8" style="2" customWidth="1"/>
    <col min="3609" max="3609" width="7.42578125" style="2" customWidth="1"/>
    <col min="3610" max="3610" width="7.5703125" style="2" customWidth="1"/>
    <col min="3611" max="3612" width="7.42578125" style="2" customWidth="1"/>
    <col min="3613" max="3613" width="11.140625" style="2" bestFit="1" customWidth="1"/>
    <col min="3614" max="3614" width="7.7109375" style="2" customWidth="1"/>
    <col min="3615" max="3615" width="8" style="2" customWidth="1"/>
    <col min="3616" max="3617" width="7.85546875" style="2" customWidth="1"/>
    <col min="3618" max="3619" width="7.28515625" style="2" customWidth="1"/>
    <col min="3620" max="3620" width="8" style="2" customWidth="1"/>
    <col min="3621" max="3621" width="7.85546875" style="2" customWidth="1"/>
    <col min="3622" max="3622" width="6.7109375" style="2" bestFit="1" customWidth="1"/>
    <col min="3623" max="3623" width="9.28515625" style="2" bestFit="1" customWidth="1"/>
    <col min="3624" max="3624" width="10.7109375" style="2" customWidth="1"/>
    <col min="3625" max="3625" width="9.7109375" style="2" bestFit="1" customWidth="1"/>
    <col min="3626" max="3626" width="11.85546875" style="2" bestFit="1" customWidth="1"/>
    <col min="3627" max="3627" width="10.7109375" style="2" bestFit="1" customWidth="1"/>
    <col min="3628" max="3628" width="7.28515625" style="2" bestFit="1" customWidth="1"/>
    <col min="3629" max="3629" width="9.7109375" style="2" bestFit="1" customWidth="1"/>
    <col min="3630" max="3630" width="9.140625" style="2" bestFit="1" customWidth="1"/>
    <col min="3631" max="3631" width="8.5703125" style="2" bestFit="1" customWidth="1"/>
    <col min="3632" max="3632" width="101.140625" style="2" customWidth="1"/>
    <col min="3633" max="3633" width="8.85546875" style="2" bestFit="1" customWidth="1"/>
    <col min="3634" max="3634" width="9.85546875" style="2" customWidth="1"/>
    <col min="3635" max="3635" width="4.42578125" style="2" customWidth="1"/>
    <col min="3636" max="3636" width="11.5703125" style="2" customWidth="1"/>
    <col min="3637" max="3637" width="12" style="2"/>
    <col min="3638" max="3638" width="14.42578125" style="2" bestFit="1" customWidth="1"/>
    <col min="3639" max="3639" width="10.42578125" style="2" customWidth="1"/>
    <col min="3640" max="3640" width="12.28515625" style="2" customWidth="1"/>
    <col min="3641" max="3641" width="12" style="2"/>
    <col min="3642" max="3642" width="9.42578125" style="2" customWidth="1"/>
    <col min="3643" max="3644" width="12" style="2"/>
    <col min="3645" max="3646" width="14.42578125" style="2" customWidth="1"/>
    <col min="3647" max="3647" width="14.28515625" style="2" customWidth="1"/>
    <col min="3648" max="3648" width="12.7109375" style="2" customWidth="1"/>
    <col min="3649" max="3653" width="12" style="2"/>
    <col min="3654" max="3654" width="14.28515625" style="2" bestFit="1" customWidth="1"/>
    <col min="3655" max="3840" width="12" style="2"/>
    <col min="3841" max="3841" width="8" style="2" bestFit="1" customWidth="1"/>
    <col min="3842" max="3844" width="6" style="2" customWidth="1"/>
    <col min="3845" max="3845" width="7.140625" style="2" bestFit="1" customWidth="1"/>
    <col min="3846" max="3847" width="7.140625" style="2" customWidth="1"/>
    <col min="3848" max="3850" width="8.28515625" style="2" customWidth="1"/>
    <col min="3851" max="3851" width="7.140625" style="2" bestFit="1" customWidth="1"/>
    <col min="3852" max="3852" width="6" style="2" customWidth="1"/>
    <col min="3853" max="3853" width="9.42578125" style="2" customWidth="1"/>
    <col min="3854" max="3854" width="8.140625" style="2" bestFit="1" customWidth="1"/>
    <col min="3855" max="3855" width="8.85546875" style="2" bestFit="1" customWidth="1"/>
    <col min="3856" max="3856" width="9.140625" style="2" bestFit="1" customWidth="1"/>
    <col min="3857" max="3857" width="45.140625" style="2" bestFit="1" customWidth="1"/>
    <col min="3858" max="3858" width="2.140625" style="2" customWidth="1"/>
    <col min="3859" max="3859" width="8" style="2" bestFit="1" customWidth="1"/>
    <col min="3860" max="3860" width="6.85546875" style="2" customWidth="1"/>
    <col min="3861" max="3862" width="7.42578125" style="2" customWidth="1"/>
    <col min="3863" max="3864" width="8" style="2" customWidth="1"/>
    <col min="3865" max="3865" width="7.42578125" style="2" customWidth="1"/>
    <col min="3866" max="3866" width="7.5703125" style="2" customWidth="1"/>
    <col min="3867" max="3868" width="7.42578125" style="2" customWidth="1"/>
    <col min="3869" max="3869" width="11.140625" style="2" bestFit="1" customWidth="1"/>
    <col min="3870" max="3870" width="7.7109375" style="2" customWidth="1"/>
    <col min="3871" max="3871" width="8" style="2" customWidth="1"/>
    <col min="3872" max="3873" width="7.85546875" style="2" customWidth="1"/>
    <col min="3874" max="3875" width="7.28515625" style="2" customWidth="1"/>
    <col min="3876" max="3876" width="8" style="2" customWidth="1"/>
    <col min="3877" max="3877" width="7.85546875" style="2" customWidth="1"/>
    <col min="3878" max="3878" width="6.7109375" style="2" bestFit="1" customWidth="1"/>
    <col min="3879" max="3879" width="9.28515625" style="2" bestFit="1" customWidth="1"/>
    <col min="3880" max="3880" width="10.7109375" style="2" customWidth="1"/>
    <col min="3881" max="3881" width="9.7109375" style="2" bestFit="1" customWidth="1"/>
    <col min="3882" max="3882" width="11.85546875" style="2" bestFit="1" customWidth="1"/>
    <col min="3883" max="3883" width="10.7109375" style="2" bestFit="1" customWidth="1"/>
    <col min="3884" max="3884" width="7.28515625" style="2" bestFit="1" customWidth="1"/>
    <col min="3885" max="3885" width="9.7109375" style="2" bestFit="1" customWidth="1"/>
    <col min="3886" max="3886" width="9.140625" style="2" bestFit="1" customWidth="1"/>
    <col min="3887" max="3887" width="8.5703125" style="2" bestFit="1" customWidth="1"/>
    <col min="3888" max="3888" width="101.140625" style="2" customWidth="1"/>
    <col min="3889" max="3889" width="8.85546875" style="2" bestFit="1" customWidth="1"/>
    <col min="3890" max="3890" width="9.85546875" style="2" customWidth="1"/>
    <col min="3891" max="3891" width="4.42578125" style="2" customWidth="1"/>
    <col min="3892" max="3892" width="11.5703125" style="2" customWidth="1"/>
    <col min="3893" max="3893" width="12" style="2"/>
    <col min="3894" max="3894" width="14.42578125" style="2" bestFit="1" customWidth="1"/>
    <col min="3895" max="3895" width="10.42578125" style="2" customWidth="1"/>
    <col min="3896" max="3896" width="12.28515625" style="2" customWidth="1"/>
    <col min="3897" max="3897" width="12" style="2"/>
    <col min="3898" max="3898" width="9.42578125" style="2" customWidth="1"/>
    <col min="3899" max="3900" width="12" style="2"/>
    <col min="3901" max="3902" width="14.42578125" style="2" customWidth="1"/>
    <col min="3903" max="3903" width="14.28515625" style="2" customWidth="1"/>
    <col min="3904" max="3904" width="12.7109375" style="2" customWidth="1"/>
    <col min="3905" max="3909" width="12" style="2"/>
    <col min="3910" max="3910" width="14.28515625" style="2" bestFit="1" customWidth="1"/>
    <col min="3911" max="4096" width="12" style="2"/>
    <col min="4097" max="4097" width="8" style="2" bestFit="1" customWidth="1"/>
    <col min="4098" max="4100" width="6" style="2" customWidth="1"/>
    <col min="4101" max="4101" width="7.140625" style="2" bestFit="1" customWidth="1"/>
    <col min="4102" max="4103" width="7.140625" style="2" customWidth="1"/>
    <col min="4104" max="4106" width="8.28515625" style="2" customWidth="1"/>
    <col min="4107" max="4107" width="7.140625" style="2" bestFit="1" customWidth="1"/>
    <col min="4108" max="4108" width="6" style="2" customWidth="1"/>
    <col min="4109" max="4109" width="9.42578125" style="2" customWidth="1"/>
    <col min="4110" max="4110" width="8.140625" style="2" bestFit="1" customWidth="1"/>
    <col min="4111" max="4111" width="8.85546875" style="2" bestFit="1" customWidth="1"/>
    <col min="4112" max="4112" width="9.140625" style="2" bestFit="1" customWidth="1"/>
    <col min="4113" max="4113" width="45.140625" style="2" bestFit="1" customWidth="1"/>
    <col min="4114" max="4114" width="2.140625" style="2" customWidth="1"/>
    <col min="4115" max="4115" width="8" style="2" bestFit="1" customWidth="1"/>
    <col min="4116" max="4116" width="6.85546875" style="2" customWidth="1"/>
    <col min="4117" max="4118" width="7.42578125" style="2" customWidth="1"/>
    <col min="4119" max="4120" width="8" style="2" customWidth="1"/>
    <col min="4121" max="4121" width="7.42578125" style="2" customWidth="1"/>
    <col min="4122" max="4122" width="7.5703125" style="2" customWidth="1"/>
    <col min="4123" max="4124" width="7.42578125" style="2" customWidth="1"/>
    <col min="4125" max="4125" width="11.140625" style="2" bestFit="1" customWidth="1"/>
    <col min="4126" max="4126" width="7.7109375" style="2" customWidth="1"/>
    <col min="4127" max="4127" width="8" style="2" customWidth="1"/>
    <col min="4128" max="4129" width="7.85546875" style="2" customWidth="1"/>
    <col min="4130" max="4131" width="7.28515625" style="2" customWidth="1"/>
    <col min="4132" max="4132" width="8" style="2" customWidth="1"/>
    <col min="4133" max="4133" width="7.85546875" style="2" customWidth="1"/>
    <col min="4134" max="4134" width="6.7109375" style="2" bestFit="1" customWidth="1"/>
    <col min="4135" max="4135" width="9.28515625" style="2" bestFit="1" customWidth="1"/>
    <col min="4136" max="4136" width="10.7109375" style="2" customWidth="1"/>
    <col min="4137" max="4137" width="9.7109375" style="2" bestFit="1" customWidth="1"/>
    <col min="4138" max="4138" width="11.85546875" style="2" bestFit="1" customWidth="1"/>
    <col min="4139" max="4139" width="10.7109375" style="2" bestFit="1" customWidth="1"/>
    <col min="4140" max="4140" width="7.28515625" style="2" bestFit="1" customWidth="1"/>
    <col min="4141" max="4141" width="9.7109375" style="2" bestFit="1" customWidth="1"/>
    <col min="4142" max="4142" width="9.140625" style="2" bestFit="1" customWidth="1"/>
    <col min="4143" max="4143" width="8.5703125" style="2" bestFit="1" customWidth="1"/>
    <col min="4144" max="4144" width="101.140625" style="2" customWidth="1"/>
    <col min="4145" max="4145" width="8.85546875" style="2" bestFit="1" customWidth="1"/>
    <col min="4146" max="4146" width="9.85546875" style="2" customWidth="1"/>
    <col min="4147" max="4147" width="4.42578125" style="2" customWidth="1"/>
    <col min="4148" max="4148" width="11.5703125" style="2" customWidth="1"/>
    <col min="4149" max="4149" width="12" style="2"/>
    <col min="4150" max="4150" width="14.42578125" style="2" bestFit="1" customWidth="1"/>
    <col min="4151" max="4151" width="10.42578125" style="2" customWidth="1"/>
    <col min="4152" max="4152" width="12.28515625" style="2" customWidth="1"/>
    <col min="4153" max="4153" width="12" style="2"/>
    <col min="4154" max="4154" width="9.42578125" style="2" customWidth="1"/>
    <col min="4155" max="4156" width="12" style="2"/>
    <col min="4157" max="4158" width="14.42578125" style="2" customWidth="1"/>
    <col min="4159" max="4159" width="14.28515625" style="2" customWidth="1"/>
    <col min="4160" max="4160" width="12.7109375" style="2" customWidth="1"/>
    <col min="4161" max="4165" width="12" style="2"/>
    <col min="4166" max="4166" width="14.28515625" style="2" bestFit="1" customWidth="1"/>
    <col min="4167" max="4352" width="12" style="2"/>
    <col min="4353" max="4353" width="8" style="2" bestFit="1" customWidth="1"/>
    <col min="4354" max="4356" width="6" style="2" customWidth="1"/>
    <col min="4357" max="4357" width="7.140625" style="2" bestFit="1" customWidth="1"/>
    <col min="4358" max="4359" width="7.140625" style="2" customWidth="1"/>
    <col min="4360" max="4362" width="8.28515625" style="2" customWidth="1"/>
    <col min="4363" max="4363" width="7.140625" style="2" bestFit="1" customWidth="1"/>
    <col min="4364" max="4364" width="6" style="2" customWidth="1"/>
    <col min="4365" max="4365" width="9.42578125" style="2" customWidth="1"/>
    <col min="4366" max="4366" width="8.140625" style="2" bestFit="1" customWidth="1"/>
    <col min="4367" max="4367" width="8.85546875" style="2" bestFit="1" customWidth="1"/>
    <col min="4368" max="4368" width="9.140625" style="2" bestFit="1" customWidth="1"/>
    <col min="4369" max="4369" width="45.140625" style="2" bestFit="1" customWidth="1"/>
    <col min="4370" max="4370" width="2.140625" style="2" customWidth="1"/>
    <col min="4371" max="4371" width="8" style="2" bestFit="1" customWidth="1"/>
    <col min="4372" max="4372" width="6.85546875" style="2" customWidth="1"/>
    <col min="4373" max="4374" width="7.42578125" style="2" customWidth="1"/>
    <col min="4375" max="4376" width="8" style="2" customWidth="1"/>
    <col min="4377" max="4377" width="7.42578125" style="2" customWidth="1"/>
    <col min="4378" max="4378" width="7.5703125" style="2" customWidth="1"/>
    <col min="4379" max="4380" width="7.42578125" style="2" customWidth="1"/>
    <col min="4381" max="4381" width="11.140625" style="2" bestFit="1" customWidth="1"/>
    <col min="4382" max="4382" width="7.7109375" style="2" customWidth="1"/>
    <col min="4383" max="4383" width="8" style="2" customWidth="1"/>
    <col min="4384" max="4385" width="7.85546875" style="2" customWidth="1"/>
    <col min="4386" max="4387" width="7.28515625" style="2" customWidth="1"/>
    <col min="4388" max="4388" width="8" style="2" customWidth="1"/>
    <col min="4389" max="4389" width="7.85546875" style="2" customWidth="1"/>
    <col min="4390" max="4390" width="6.7109375" style="2" bestFit="1" customWidth="1"/>
    <col min="4391" max="4391" width="9.28515625" style="2" bestFit="1" customWidth="1"/>
    <col min="4392" max="4392" width="10.7109375" style="2" customWidth="1"/>
    <col min="4393" max="4393" width="9.7109375" style="2" bestFit="1" customWidth="1"/>
    <col min="4394" max="4394" width="11.85546875" style="2" bestFit="1" customWidth="1"/>
    <col min="4395" max="4395" width="10.7109375" style="2" bestFit="1" customWidth="1"/>
    <col min="4396" max="4396" width="7.28515625" style="2" bestFit="1" customWidth="1"/>
    <col min="4397" max="4397" width="9.7109375" style="2" bestFit="1" customWidth="1"/>
    <col min="4398" max="4398" width="9.140625" style="2" bestFit="1" customWidth="1"/>
    <col min="4399" max="4399" width="8.5703125" style="2" bestFit="1" customWidth="1"/>
    <col min="4400" max="4400" width="101.140625" style="2" customWidth="1"/>
    <col min="4401" max="4401" width="8.85546875" style="2" bestFit="1" customWidth="1"/>
    <col min="4402" max="4402" width="9.85546875" style="2" customWidth="1"/>
    <col min="4403" max="4403" width="4.42578125" style="2" customWidth="1"/>
    <col min="4404" max="4404" width="11.5703125" style="2" customWidth="1"/>
    <col min="4405" max="4405" width="12" style="2"/>
    <col min="4406" max="4406" width="14.42578125" style="2" bestFit="1" customWidth="1"/>
    <col min="4407" max="4407" width="10.42578125" style="2" customWidth="1"/>
    <col min="4408" max="4408" width="12.28515625" style="2" customWidth="1"/>
    <col min="4409" max="4409" width="12" style="2"/>
    <col min="4410" max="4410" width="9.42578125" style="2" customWidth="1"/>
    <col min="4411" max="4412" width="12" style="2"/>
    <col min="4413" max="4414" width="14.42578125" style="2" customWidth="1"/>
    <col min="4415" max="4415" width="14.28515625" style="2" customWidth="1"/>
    <col min="4416" max="4416" width="12.7109375" style="2" customWidth="1"/>
    <col min="4417" max="4421" width="12" style="2"/>
    <col min="4422" max="4422" width="14.28515625" style="2" bestFit="1" customWidth="1"/>
    <col min="4423" max="4608" width="12" style="2"/>
    <col min="4609" max="4609" width="8" style="2" bestFit="1" customWidth="1"/>
    <col min="4610" max="4612" width="6" style="2" customWidth="1"/>
    <col min="4613" max="4613" width="7.140625" style="2" bestFit="1" customWidth="1"/>
    <col min="4614" max="4615" width="7.140625" style="2" customWidth="1"/>
    <col min="4616" max="4618" width="8.28515625" style="2" customWidth="1"/>
    <col min="4619" max="4619" width="7.140625" style="2" bestFit="1" customWidth="1"/>
    <col min="4620" max="4620" width="6" style="2" customWidth="1"/>
    <col min="4621" max="4621" width="9.42578125" style="2" customWidth="1"/>
    <col min="4622" max="4622" width="8.140625" style="2" bestFit="1" customWidth="1"/>
    <col min="4623" max="4623" width="8.85546875" style="2" bestFit="1" customWidth="1"/>
    <col min="4624" max="4624" width="9.140625" style="2" bestFit="1" customWidth="1"/>
    <col min="4625" max="4625" width="45.140625" style="2" bestFit="1" customWidth="1"/>
    <col min="4626" max="4626" width="2.140625" style="2" customWidth="1"/>
    <col min="4627" max="4627" width="8" style="2" bestFit="1" customWidth="1"/>
    <col min="4628" max="4628" width="6.85546875" style="2" customWidth="1"/>
    <col min="4629" max="4630" width="7.42578125" style="2" customWidth="1"/>
    <col min="4631" max="4632" width="8" style="2" customWidth="1"/>
    <col min="4633" max="4633" width="7.42578125" style="2" customWidth="1"/>
    <col min="4634" max="4634" width="7.5703125" style="2" customWidth="1"/>
    <col min="4635" max="4636" width="7.42578125" style="2" customWidth="1"/>
    <col min="4637" max="4637" width="11.140625" style="2" bestFit="1" customWidth="1"/>
    <col min="4638" max="4638" width="7.7109375" style="2" customWidth="1"/>
    <col min="4639" max="4639" width="8" style="2" customWidth="1"/>
    <col min="4640" max="4641" width="7.85546875" style="2" customWidth="1"/>
    <col min="4642" max="4643" width="7.28515625" style="2" customWidth="1"/>
    <col min="4644" max="4644" width="8" style="2" customWidth="1"/>
    <col min="4645" max="4645" width="7.85546875" style="2" customWidth="1"/>
    <col min="4646" max="4646" width="6.7109375" style="2" bestFit="1" customWidth="1"/>
    <col min="4647" max="4647" width="9.28515625" style="2" bestFit="1" customWidth="1"/>
    <col min="4648" max="4648" width="10.7109375" style="2" customWidth="1"/>
    <col min="4649" max="4649" width="9.7109375" style="2" bestFit="1" customWidth="1"/>
    <col min="4650" max="4650" width="11.85546875" style="2" bestFit="1" customWidth="1"/>
    <col min="4651" max="4651" width="10.7109375" style="2" bestFit="1" customWidth="1"/>
    <col min="4652" max="4652" width="7.28515625" style="2" bestFit="1" customWidth="1"/>
    <col min="4653" max="4653" width="9.7109375" style="2" bestFit="1" customWidth="1"/>
    <col min="4654" max="4654" width="9.140625" style="2" bestFit="1" customWidth="1"/>
    <col min="4655" max="4655" width="8.5703125" style="2" bestFit="1" customWidth="1"/>
    <col min="4656" max="4656" width="101.140625" style="2" customWidth="1"/>
    <col min="4657" max="4657" width="8.85546875" style="2" bestFit="1" customWidth="1"/>
    <col min="4658" max="4658" width="9.85546875" style="2" customWidth="1"/>
    <col min="4659" max="4659" width="4.42578125" style="2" customWidth="1"/>
    <col min="4660" max="4660" width="11.5703125" style="2" customWidth="1"/>
    <col min="4661" max="4661" width="12" style="2"/>
    <col min="4662" max="4662" width="14.42578125" style="2" bestFit="1" customWidth="1"/>
    <col min="4663" max="4663" width="10.42578125" style="2" customWidth="1"/>
    <col min="4664" max="4664" width="12.28515625" style="2" customWidth="1"/>
    <col min="4665" max="4665" width="12" style="2"/>
    <col min="4666" max="4666" width="9.42578125" style="2" customWidth="1"/>
    <col min="4667" max="4668" width="12" style="2"/>
    <col min="4669" max="4670" width="14.42578125" style="2" customWidth="1"/>
    <col min="4671" max="4671" width="14.28515625" style="2" customWidth="1"/>
    <col min="4672" max="4672" width="12.7109375" style="2" customWidth="1"/>
    <col min="4673" max="4677" width="12" style="2"/>
    <col min="4678" max="4678" width="14.28515625" style="2" bestFit="1" customWidth="1"/>
    <col min="4679" max="4864" width="12" style="2"/>
    <col min="4865" max="4865" width="8" style="2" bestFit="1" customWidth="1"/>
    <col min="4866" max="4868" width="6" style="2" customWidth="1"/>
    <col min="4869" max="4869" width="7.140625" style="2" bestFit="1" customWidth="1"/>
    <col min="4870" max="4871" width="7.140625" style="2" customWidth="1"/>
    <col min="4872" max="4874" width="8.28515625" style="2" customWidth="1"/>
    <col min="4875" max="4875" width="7.140625" style="2" bestFit="1" customWidth="1"/>
    <col min="4876" max="4876" width="6" style="2" customWidth="1"/>
    <col min="4877" max="4877" width="9.42578125" style="2" customWidth="1"/>
    <col min="4878" max="4878" width="8.140625" style="2" bestFit="1" customWidth="1"/>
    <col min="4879" max="4879" width="8.85546875" style="2" bestFit="1" customWidth="1"/>
    <col min="4880" max="4880" width="9.140625" style="2" bestFit="1" customWidth="1"/>
    <col min="4881" max="4881" width="45.140625" style="2" bestFit="1" customWidth="1"/>
    <col min="4882" max="4882" width="2.140625" style="2" customWidth="1"/>
    <col min="4883" max="4883" width="8" style="2" bestFit="1" customWidth="1"/>
    <col min="4884" max="4884" width="6.85546875" style="2" customWidth="1"/>
    <col min="4885" max="4886" width="7.42578125" style="2" customWidth="1"/>
    <col min="4887" max="4888" width="8" style="2" customWidth="1"/>
    <col min="4889" max="4889" width="7.42578125" style="2" customWidth="1"/>
    <col min="4890" max="4890" width="7.5703125" style="2" customWidth="1"/>
    <col min="4891" max="4892" width="7.42578125" style="2" customWidth="1"/>
    <col min="4893" max="4893" width="11.140625" style="2" bestFit="1" customWidth="1"/>
    <col min="4894" max="4894" width="7.7109375" style="2" customWidth="1"/>
    <col min="4895" max="4895" width="8" style="2" customWidth="1"/>
    <col min="4896" max="4897" width="7.85546875" style="2" customWidth="1"/>
    <col min="4898" max="4899" width="7.28515625" style="2" customWidth="1"/>
    <col min="4900" max="4900" width="8" style="2" customWidth="1"/>
    <col min="4901" max="4901" width="7.85546875" style="2" customWidth="1"/>
    <col min="4902" max="4902" width="6.7109375" style="2" bestFit="1" customWidth="1"/>
    <col min="4903" max="4903" width="9.28515625" style="2" bestFit="1" customWidth="1"/>
    <col min="4904" max="4904" width="10.7109375" style="2" customWidth="1"/>
    <col min="4905" max="4905" width="9.7109375" style="2" bestFit="1" customWidth="1"/>
    <col min="4906" max="4906" width="11.85546875" style="2" bestFit="1" customWidth="1"/>
    <col min="4907" max="4907" width="10.7109375" style="2" bestFit="1" customWidth="1"/>
    <col min="4908" max="4908" width="7.28515625" style="2" bestFit="1" customWidth="1"/>
    <col min="4909" max="4909" width="9.7109375" style="2" bestFit="1" customWidth="1"/>
    <col min="4910" max="4910" width="9.140625" style="2" bestFit="1" customWidth="1"/>
    <col min="4911" max="4911" width="8.5703125" style="2" bestFit="1" customWidth="1"/>
    <col min="4912" max="4912" width="101.140625" style="2" customWidth="1"/>
    <col min="4913" max="4913" width="8.85546875" style="2" bestFit="1" customWidth="1"/>
    <col min="4914" max="4914" width="9.85546875" style="2" customWidth="1"/>
    <col min="4915" max="4915" width="4.42578125" style="2" customWidth="1"/>
    <col min="4916" max="4916" width="11.5703125" style="2" customWidth="1"/>
    <col min="4917" max="4917" width="12" style="2"/>
    <col min="4918" max="4918" width="14.42578125" style="2" bestFit="1" customWidth="1"/>
    <col min="4919" max="4919" width="10.42578125" style="2" customWidth="1"/>
    <col min="4920" max="4920" width="12.28515625" style="2" customWidth="1"/>
    <col min="4921" max="4921" width="12" style="2"/>
    <col min="4922" max="4922" width="9.42578125" style="2" customWidth="1"/>
    <col min="4923" max="4924" width="12" style="2"/>
    <col min="4925" max="4926" width="14.42578125" style="2" customWidth="1"/>
    <col min="4927" max="4927" width="14.28515625" style="2" customWidth="1"/>
    <col min="4928" max="4928" width="12.7109375" style="2" customWidth="1"/>
    <col min="4929" max="4933" width="12" style="2"/>
    <col min="4934" max="4934" width="14.28515625" style="2" bestFit="1" customWidth="1"/>
    <col min="4935" max="5120" width="12" style="2"/>
    <col min="5121" max="5121" width="8" style="2" bestFit="1" customWidth="1"/>
    <col min="5122" max="5124" width="6" style="2" customWidth="1"/>
    <col min="5125" max="5125" width="7.140625" style="2" bestFit="1" customWidth="1"/>
    <col min="5126" max="5127" width="7.140625" style="2" customWidth="1"/>
    <col min="5128" max="5130" width="8.28515625" style="2" customWidth="1"/>
    <col min="5131" max="5131" width="7.140625" style="2" bestFit="1" customWidth="1"/>
    <col min="5132" max="5132" width="6" style="2" customWidth="1"/>
    <col min="5133" max="5133" width="9.42578125" style="2" customWidth="1"/>
    <col min="5134" max="5134" width="8.140625" style="2" bestFit="1" customWidth="1"/>
    <col min="5135" max="5135" width="8.85546875" style="2" bestFit="1" customWidth="1"/>
    <col min="5136" max="5136" width="9.140625" style="2" bestFit="1" customWidth="1"/>
    <col min="5137" max="5137" width="45.140625" style="2" bestFit="1" customWidth="1"/>
    <col min="5138" max="5138" width="2.140625" style="2" customWidth="1"/>
    <col min="5139" max="5139" width="8" style="2" bestFit="1" customWidth="1"/>
    <col min="5140" max="5140" width="6.85546875" style="2" customWidth="1"/>
    <col min="5141" max="5142" width="7.42578125" style="2" customWidth="1"/>
    <col min="5143" max="5144" width="8" style="2" customWidth="1"/>
    <col min="5145" max="5145" width="7.42578125" style="2" customWidth="1"/>
    <col min="5146" max="5146" width="7.5703125" style="2" customWidth="1"/>
    <col min="5147" max="5148" width="7.42578125" style="2" customWidth="1"/>
    <col min="5149" max="5149" width="11.140625" style="2" bestFit="1" customWidth="1"/>
    <col min="5150" max="5150" width="7.7109375" style="2" customWidth="1"/>
    <col min="5151" max="5151" width="8" style="2" customWidth="1"/>
    <col min="5152" max="5153" width="7.85546875" style="2" customWidth="1"/>
    <col min="5154" max="5155" width="7.28515625" style="2" customWidth="1"/>
    <col min="5156" max="5156" width="8" style="2" customWidth="1"/>
    <col min="5157" max="5157" width="7.85546875" style="2" customWidth="1"/>
    <col min="5158" max="5158" width="6.7109375" style="2" bestFit="1" customWidth="1"/>
    <col min="5159" max="5159" width="9.28515625" style="2" bestFit="1" customWidth="1"/>
    <col min="5160" max="5160" width="10.7109375" style="2" customWidth="1"/>
    <col min="5161" max="5161" width="9.7109375" style="2" bestFit="1" customWidth="1"/>
    <col min="5162" max="5162" width="11.85546875" style="2" bestFit="1" customWidth="1"/>
    <col min="5163" max="5163" width="10.7109375" style="2" bestFit="1" customWidth="1"/>
    <col min="5164" max="5164" width="7.28515625" style="2" bestFit="1" customWidth="1"/>
    <col min="5165" max="5165" width="9.7109375" style="2" bestFit="1" customWidth="1"/>
    <col min="5166" max="5166" width="9.140625" style="2" bestFit="1" customWidth="1"/>
    <col min="5167" max="5167" width="8.5703125" style="2" bestFit="1" customWidth="1"/>
    <col min="5168" max="5168" width="101.140625" style="2" customWidth="1"/>
    <col min="5169" max="5169" width="8.85546875" style="2" bestFit="1" customWidth="1"/>
    <col min="5170" max="5170" width="9.85546875" style="2" customWidth="1"/>
    <col min="5171" max="5171" width="4.42578125" style="2" customWidth="1"/>
    <col min="5172" max="5172" width="11.5703125" style="2" customWidth="1"/>
    <col min="5173" max="5173" width="12" style="2"/>
    <col min="5174" max="5174" width="14.42578125" style="2" bestFit="1" customWidth="1"/>
    <col min="5175" max="5175" width="10.42578125" style="2" customWidth="1"/>
    <col min="5176" max="5176" width="12.28515625" style="2" customWidth="1"/>
    <col min="5177" max="5177" width="12" style="2"/>
    <col min="5178" max="5178" width="9.42578125" style="2" customWidth="1"/>
    <col min="5179" max="5180" width="12" style="2"/>
    <col min="5181" max="5182" width="14.42578125" style="2" customWidth="1"/>
    <col min="5183" max="5183" width="14.28515625" style="2" customWidth="1"/>
    <col min="5184" max="5184" width="12.7109375" style="2" customWidth="1"/>
    <col min="5185" max="5189" width="12" style="2"/>
    <col min="5190" max="5190" width="14.28515625" style="2" bestFit="1" customWidth="1"/>
    <col min="5191" max="5376" width="12" style="2"/>
    <col min="5377" max="5377" width="8" style="2" bestFit="1" customWidth="1"/>
    <col min="5378" max="5380" width="6" style="2" customWidth="1"/>
    <col min="5381" max="5381" width="7.140625" style="2" bestFit="1" customWidth="1"/>
    <col min="5382" max="5383" width="7.140625" style="2" customWidth="1"/>
    <col min="5384" max="5386" width="8.28515625" style="2" customWidth="1"/>
    <col min="5387" max="5387" width="7.140625" style="2" bestFit="1" customWidth="1"/>
    <col min="5388" max="5388" width="6" style="2" customWidth="1"/>
    <col min="5389" max="5389" width="9.42578125" style="2" customWidth="1"/>
    <col min="5390" max="5390" width="8.140625" style="2" bestFit="1" customWidth="1"/>
    <col min="5391" max="5391" width="8.85546875" style="2" bestFit="1" customWidth="1"/>
    <col min="5392" max="5392" width="9.140625" style="2" bestFit="1" customWidth="1"/>
    <col min="5393" max="5393" width="45.140625" style="2" bestFit="1" customWidth="1"/>
    <col min="5394" max="5394" width="2.140625" style="2" customWidth="1"/>
    <col min="5395" max="5395" width="8" style="2" bestFit="1" customWidth="1"/>
    <col min="5396" max="5396" width="6.85546875" style="2" customWidth="1"/>
    <col min="5397" max="5398" width="7.42578125" style="2" customWidth="1"/>
    <col min="5399" max="5400" width="8" style="2" customWidth="1"/>
    <col min="5401" max="5401" width="7.42578125" style="2" customWidth="1"/>
    <col min="5402" max="5402" width="7.5703125" style="2" customWidth="1"/>
    <col min="5403" max="5404" width="7.42578125" style="2" customWidth="1"/>
    <col min="5405" max="5405" width="11.140625" style="2" bestFit="1" customWidth="1"/>
    <col min="5406" max="5406" width="7.7109375" style="2" customWidth="1"/>
    <col min="5407" max="5407" width="8" style="2" customWidth="1"/>
    <col min="5408" max="5409" width="7.85546875" style="2" customWidth="1"/>
    <col min="5410" max="5411" width="7.28515625" style="2" customWidth="1"/>
    <col min="5412" max="5412" width="8" style="2" customWidth="1"/>
    <col min="5413" max="5413" width="7.85546875" style="2" customWidth="1"/>
    <col min="5414" max="5414" width="6.7109375" style="2" bestFit="1" customWidth="1"/>
    <col min="5415" max="5415" width="9.28515625" style="2" bestFit="1" customWidth="1"/>
    <col min="5416" max="5416" width="10.7109375" style="2" customWidth="1"/>
    <col min="5417" max="5417" width="9.7109375" style="2" bestFit="1" customWidth="1"/>
    <col min="5418" max="5418" width="11.85546875" style="2" bestFit="1" customWidth="1"/>
    <col min="5419" max="5419" width="10.7109375" style="2" bestFit="1" customWidth="1"/>
    <col min="5420" max="5420" width="7.28515625" style="2" bestFit="1" customWidth="1"/>
    <col min="5421" max="5421" width="9.7109375" style="2" bestFit="1" customWidth="1"/>
    <col min="5422" max="5422" width="9.140625" style="2" bestFit="1" customWidth="1"/>
    <col min="5423" max="5423" width="8.5703125" style="2" bestFit="1" customWidth="1"/>
    <col min="5424" max="5424" width="101.140625" style="2" customWidth="1"/>
    <col min="5425" max="5425" width="8.85546875" style="2" bestFit="1" customWidth="1"/>
    <col min="5426" max="5426" width="9.85546875" style="2" customWidth="1"/>
    <col min="5427" max="5427" width="4.42578125" style="2" customWidth="1"/>
    <col min="5428" max="5428" width="11.5703125" style="2" customWidth="1"/>
    <col min="5429" max="5429" width="12" style="2"/>
    <col min="5430" max="5430" width="14.42578125" style="2" bestFit="1" customWidth="1"/>
    <col min="5431" max="5431" width="10.42578125" style="2" customWidth="1"/>
    <col min="5432" max="5432" width="12.28515625" style="2" customWidth="1"/>
    <col min="5433" max="5433" width="12" style="2"/>
    <col min="5434" max="5434" width="9.42578125" style="2" customWidth="1"/>
    <col min="5435" max="5436" width="12" style="2"/>
    <col min="5437" max="5438" width="14.42578125" style="2" customWidth="1"/>
    <col min="5439" max="5439" width="14.28515625" style="2" customWidth="1"/>
    <col min="5440" max="5440" width="12.7109375" style="2" customWidth="1"/>
    <col min="5441" max="5445" width="12" style="2"/>
    <col min="5446" max="5446" width="14.28515625" style="2" bestFit="1" customWidth="1"/>
    <col min="5447" max="5632" width="12" style="2"/>
    <col min="5633" max="5633" width="8" style="2" bestFit="1" customWidth="1"/>
    <col min="5634" max="5636" width="6" style="2" customWidth="1"/>
    <col min="5637" max="5637" width="7.140625" style="2" bestFit="1" customWidth="1"/>
    <col min="5638" max="5639" width="7.140625" style="2" customWidth="1"/>
    <col min="5640" max="5642" width="8.28515625" style="2" customWidth="1"/>
    <col min="5643" max="5643" width="7.140625" style="2" bestFit="1" customWidth="1"/>
    <col min="5644" max="5644" width="6" style="2" customWidth="1"/>
    <col min="5645" max="5645" width="9.42578125" style="2" customWidth="1"/>
    <col min="5646" max="5646" width="8.140625" style="2" bestFit="1" customWidth="1"/>
    <col min="5647" max="5647" width="8.85546875" style="2" bestFit="1" customWidth="1"/>
    <col min="5648" max="5648" width="9.140625" style="2" bestFit="1" customWidth="1"/>
    <col min="5649" max="5649" width="45.140625" style="2" bestFit="1" customWidth="1"/>
    <col min="5650" max="5650" width="2.140625" style="2" customWidth="1"/>
    <col min="5651" max="5651" width="8" style="2" bestFit="1" customWidth="1"/>
    <col min="5652" max="5652" width="6.85546875" style="2" customWidth="1"/>
    <col min="5653" max="5654" width="7.42578125" style="2" customWidth="1"/>
    <col min="5655" max="5656" width="8" style="2" customWidth="1"/>
    <col min="5657" max="5657" width="7.42578125" style="2" customWidth="1"/>
    <col min="5658" max="5658" width="7.5703125" style="2" customWidth="1"/>
    <col min="5659" max="5660" width="7.42578125" style="2" customWidth="1"/>
    <col min="5661" max="5661" width="11.140625" style="2" bestFit="1" customWidth="1"/>
    <col min="5662" max="5662" width="7.7109375" style="2" customWidth="1"/>
    <col min="5663" max="5663" width="8" style="2" customWidth="1"/>
    <col min="5664" max="5665" width="7.85546875" style="2" customWidth="1"/>
    <col min="5666" max="5667" width="7.28515625" style="2" customWidth="1"/>
    <col min="5668" max="5668" width="8" style="2" customWidth="1"/>
    <col min="5669" max="5669" width="7.85546875" style="2" customWidth="1"/>
    <col min="5670" max="5670" width="6.7109375" style="2" bestFit="1" customWidth="1"/>
    <col min="5671" max="5671" width="9.28515625" style="2" bestFit="1" customWidth="1"/>
    <col min="5672" max="5672" width="10.7109375" style="2" customWidth="1"/>
    <col min="5673" max="5673" width="9.7109375" style="2" bestFit="1" customWidth="1"/>
    <col min="5674" max="5674" width="11.85546875" style="2" bestFit="1" customWidth="1"/>
    <col min="5675" max="5675" width="10.7109375" style="2" bestFit="1" customWidth="1"/>
    <col min="5676" max="5676" width="7.28515625" style="2" bestFit="1" customWidth="1"/>
    <col min="5677" max="5677" width="9.7109375" style="2" bestFit="1" customWidth="1"/>
    <col min="5678" max="5678" width="9.140625" style="2" bestFit="1" customWidth="1"/>
    <col min="5679" max="5679" width="8.5703125" style="2" bestFit="1" customWidth="1"/>
    <col min="5680" max="5680" width="101.140625" style="2" customWidth="1"/>
    <col min="5681" max="5681" width="8.85546875" style="2" bestFit="1" customWidth="1"/>
    <col min="5682" max="5682" width="9.85546875" style="2" customWidth="1"/>
    <col min="5683" max="5683" width="4.42578125" style="2" customWidth="1"/>
    <col min="5684" max="5684" width="11.5703125" style="2" customWidth="1"/>
    <col min="5685" max="5685" width="12" style="2"/>
    <col min="5686" max="5686" width="14.42578125" style="2" bestFit="1" customWidth="1"/>
    <col min="5687" max="5687" width="10.42578125" style="2" customWidth="1"/>
    <col min="5688" max="5688" width="12.28515625" style="2" customWidth="1"/>
    <col min="5689" max="5689" width="12" style="2"/>
    <col min="5690" max="5690" width="9.42578125" style="2" customWidth="1"/>
    <col min="5691" max="5692" width="12" style="2"/>
    <col min="5693" max="5694" width="14.42578125" style="2" customWidth="1"/>
    <col min="5695" max="5695" width="14.28515625" style="2" customWidth="1"/>
    <col min="5696" max="5696" width="12.7109375" style="2" customWidth="1"/>
    <col min="5697" max="5701" width="12" style="2"/>
    <col min="5702" max="5702" width="14.28515625" style="2" bestFit="1" customWidth="1"/>
    <col min="5703" max="5888" width="12" style="2"/>
    <col min="5889" max="5889" width="8" style="2" bestFit="1" customWidth="1"/>
    <col min="5890" max="5892" width="6" style="2" customWidth="1"/>
    <col min="5893" max="5893" width="7.140625" style="2" bestFit="1" customWidth="1"/>
    <col min="5894" max="5895" width="7.140625" style="2" customWidth="1"/>
    <col min="5896" max="5898" width="8.28515625" style="2" customWidth="1"/>
    <col min="5899" max="5899" width="7.140625" style="2" bestFit="1" customWidth="1"/>
    <col min="5900" max="5900" width="6" style="2" customWidth="1"/>
    <col min="5901" max="5901" width="9.42578125" style="2" customWidth="1"/>
    <col min="5902" max="5902" width="8.140625" style="2" bestFit="1" customWidth="1"/>
    <col min="5903" max="5903" width="8.85546875" style="2" bestFit="1" customWidth="1"/>
    <col min="5904" max="5904" width="9.140625" style="2" bestFit="1" customWidth="1"/>
    <col min="5905" max="5905" width="45.140625" style="2" bestFit="1" customWidth="1"/>
    <col min="5906" max="5906" width="2.140625" style="2" customWidth="1"/>
    <col min="5907" max="5907" width="8" style="2" bestFit="1" customWidth="1"/>
    <col min="5908" max="5908" width="6.85546875" style="2" customWidth="1"/>
    <col min="5909" max="5910" width="7.42578125" style="2" customWidth="1"/>
    <col min="5911" max="5912" width="8" style="2" customWidth="1"/>
    <col min="5913" max="5913" width="7.42578125" style="2" customWidth="1"/>
    <col min="5914" max="5914" width="7.5703125" style="2" customWidth="1"/>
    <col min="5915" max="5916" width="7.42578125" style="2" customWidth="1"/>
    <col min="5917" max="5917" width="11.140625" style="2" bestFit="1" customWidth="1"/>
    <col min="5918" max="5918" width="7.7109375" style="2" customWidth="1"/>
    <col min="5919" max="5919" width="8" style="2" customWidth="1"/>
    <col min="5920" max="5921" width="7.85546875" style="2" customWidth="1"/>
    <col min="5922" max="5923" width="7.28515625" style="2" customWidth="1"/>
    <col min="5924" max="5924" width="8" style="2" customWidth="1"/>
    <col min="5925" max="5925" width="7.85546875" style="2" customWidth="1"/>
    <col min="5926" max="5926" width="6.7109375" style="2" bestFit="1" customWidth="1"/>
    <col min="5927" max="5927" width="9.28515625" style="2" bestFit="1" customWidth="1"/>
    <col min="5928" max="5928" width="10.7109375" style="2" customWidth="1"/>
    <col min="5929" max="5929" width="9.7109375" style="2" bestFit="1" customWidth="1"/>
    <col min="5930" max="5930" width="11.85546875" style="2" bestFit="1" customWidth="1"/>
    <col min="5931" max="5931" width="10.7109375" style="2" bestFit="1" customWidth="1"/>
    <col min="5932" max="5932" width="7.28515625" style="2" bestFit="1" customWidth="1"/>
    <col min="5933" max="5933" width="9.7109375" style="2" bestFit="1" customWidth="1"/>
    <col min="5934" max="5934" width="9.140625" style="2" bestFit="1" customWidth="1"/>
    <col min="5935" max="5935" width="8.5703125" style="2" bestFit="1" customWidth="1"/>
    <col min="5936" max="5936" width="101.140625" style="2" customWidth="1"/>
    <col min="5937" max="5937" width="8.85546875" style="2" bestFit="1" customWidth="1"/>
    <col min="5938" max="5938" width="9.85546875" style="2" customWidth="1"/>
    <col min="5939" max="5939" width="4.42578125" style="2" customWidth="1"/>
    <col min="5940" max="5940" width="11.5703125" style="2" customWidth="1"/>
    <col min="5941" max="5941" width="12" style="2"/>
    <col min="5942" max="5942" width="14.42578125" style="2" bestFit="1" customWidth="1"/>
    <col min="5943" max="5943" width="10.42578125" style="2" customWidth="1"/>
    <col min="5944" max="5944" width="12.28515625" style="2" customWidth="1"/>
    <col min="5945" max="5945" width="12" style="2"/>
    <col min="5946" max="5946" width="9.42578125" style="2" customWidth="1"/>
    <col min="5947" max="5948" width="12" style="2"/>
    <col min="5949" max="5950" width="14.42578125" style="2" customWidth="1"/>
    <col min="5951" max="5951" width="14.28515625" style="2" customWidth="1"/>
    <col min="5952" max="5952" width="12.7109375" style="2" customWidth="1"/>
    <col min="5953" max="5957" width="12" style="2"/>
    <col min="5958" max="5958" width="14.28515625" style="2" bestFit="1" customWidth="1"/>
    <col min="5959" max="6144" width="12" style="2"/>
    <col min="6145" max="6145" width="8" style="2" bestFit="1" customWidth="1"/>
    <col min="6146" max="6148" width="6" style="2" customWidth="1"/>
    <col min="6149" max="6149" width="7.140625" style="2" bestFit="1" customWidth="1"/>
    <col min="6150" max="6151" width="7.140625" style="2" customWidth="1"/>
    <col min="6152" max="6154" width="8.28515625" style="2" customWidth="1"/>
    <col min="6155" max="6155" width="7.140625" style="2" bestFit="1" customWidth="1"/>
    <col min="6156" max="6156" width="6" style="2" customWidth="1"/>
    <col min="6157" max="6157" width="9.42578125" style="2" customWidth="1"/>
    <col min="6158" max="6158" width="8.140625" style="2" bestFit="1" customWidth="1"/>
    <col min="6159" max="6159" width="8.85546875" style="2" bestFit="1" customWidth="1"/>
    <col min="6160" max="6160" width="9.140625" style="2" bestFit="1" customWidth="1"/>
    <col min="6161" max="6161" width="45.140625" style="2" bestFit="1" customWidth="1"/>
    <col min="6162" max="6162" width="2.140625" style="2" customWidth="1"/>
    <col min="6163" max="6163" width="8" style="2" bestFit="1" customWidth="1"/>
    <col min="6164" max="6164" width="6.85546875" style="2" customWidth="1"/>
    <col min="6165" max="6166" width="7.42578125" style="2" customWidth="1"/>
    <col min="6167" max="6168" width="8" style="2" customWidth="1"/>
    <col min="6169" max="6169" width="7.42578125" style="2" customWidth="1"/>
    <col min="6170" max="6170" width="7.5703125" style="2" customWidth="1"/>
    <col min="6171" max="6172" width="7.42578125" style="2" customWidth="1"/>
    <col min="6173" max="6173" width="11.140625" style="2" bestFit="1" customWidth="1"/>
    <col min="6174" max="6174" width="7.7109375" style="2" customWidth="1"/>
    <col min="6175" max="6175" width="8" style="2" customWidth="1"/>
    <col min="6176" max="6177" width="7.85546875" style="2" customWidth="1"/>
    <col min="6178" max="6179" width="7.28515625" style="2" customWidth="1"/>
    <col min="6180" max="6180" width="8" style="2" customWidth="1"/>
    <col min="6181" max="6181" width="7.85546875" style="2" customWidth="1"/>
    <col min="6182" max="6182" width="6.7109375" style="2" bestFit="1" customWidth="1"/>
    <col min="6183" max="6183" width="9.28515625" style="2" bestFit="1" customWidth="1"/>
    <col min="6184" max="6184" width="10.7109375" style="2" customWidth="1"/>
    <col min="6185" max="6185" width="9.7109375" style="2" bestFit="1" customWidth="1"/>
    <col min="6186" max="6186" width="11.85546875" style="2" bestFit="1" customWidth="1"/>
    <col min="6187" max="6187" width="10.7109375" style="2" bestFit="1" customWidth="1"/>
    <col min="6188" max="6188" width="7.28515625" style="2" bestFit="1" customWidth="1"/>
    <col min="6189" max="6189" width="9.7109375" style="2" bestFit="1" customWidth="1"/>
    <col min="6190" max="6190" width="9.140625" style="2" bestFit="1" customWidth="1"/>
    <col min="6191" max="6191" width="8.5703125" style="2" bestFit="1" customWidth="1"/>
    <col min="6192" max="6192" width="101.140625" style="2" customWidth="1"/>
    <col min="6193" max="6193" width="8.85546875" style="2" bestFit="1" customWidth="1"/>
    <col min="6194" max="6194" width="9.85546875" style="2" customWidth="1"/>
    <col min="6195" max="6195" width="4.42578125" style="2" customWidth="1"/>
    <col min="6196" max="6196" width="11.5703125" style="2" customWidth="1"/>
    <col min="6197" max="6197" width="12" style="2"/>
    <col min="6198" max="6198" width="14.42578125" style="2" bestFit="1" customWidth="1"/>
    <col min="6199" max="6199" width="10.42578125" style="2" customWidth="1"/>
    <col min="6200" max="6200" width="12.28515625" style="2" customWidth="1"/>
    <col min="6201" max="6201" width="12" style="2"/>
    <col min="6202" max="6202" width="9.42578125" style="2" customWidth="1"/>
    <col min="6203" max="6204" width="12" style="2"/>
    <col min="6205" max="6206" width="14.42578125" style="2" customWidth="1"/>
    <col min="6207" max="6207" width="14.28515625" style="2" customWidth="1"/>
    <col min="6208" max="6208" width="12.7109375" style="2" customWidth="1"/>
    <col min="6209" max="6213" width="12" style="2"/>
    <col min="6214" max="6214" width="14.28515625" style="2" bestFit="1" customWidth="1"/>
    <col min="6215" max="6400" width="12" style="2"/>
    <col min="6401" max="6401" width="8" style="2" bestFit="1" customWidth="1"/>
    <col min="6402" max="6404" width="6" style="2" customWidth="1"/>
    <col min="6405" max="6405" width="7.140625" style="2" bestFit="1" customWidth="1"/>
    <col min="6406" max="6407" width="7.140625" style="2" customWidth="1"/>
    <col min="6408" max="6410" width="8.28515625" style="2" customWidth="1"/>
    <col min="6411" max="6411" width="7.140625" style="2" bestFit="1" customWidth="1"/>
    <col min="6412" max="6412" width="6" style="2" customWidth="1"/>
    <col min="6413" max="6413" width="9.42578125" style="2" customWidth="1"/>
    <col min="6414" max="6414" width="8.140625" style="2" bestFit="1" customWidth="1"/>
    <col min="6415" max="6415" width="8.85546875" style="2" bestFit="1" customWidth="1"/>
    <col min="6416" max="6416" width="9.140625" style="2" bestFit="1" customWidth="1"/>
    <col min="6417" max="6417" width="45.140625" style="2" bestFit="1" customWidth="1"/>
    <col min="6418" max="6418" width="2.140625" style="2" customWidth="1"/>
    <col min="6419" max="6419" width="8" style="2" bestFit="1" customWidth="1"/>
    <col min="6420" max="6420" width="6.85546875" style="2" customWidth="1"/>
    <col min="6421" max="6422" width="7.42578125" style="2" customWidth="1"/>
    <col min="6423" max="6424" width="8" style="2" customWidth="1"/>
    <col min="6425" max="6425" width="7.42578125" style="2" customWidth="1"/>
    <col min="6426" max="6426" width="7.5703125" style="2" customWidth="1"/>
    <col min="6427" max="6428" width="7.42578125" style="2" customWidth="1"/>
    <col min="6429" max="6429" width="11.140625" style="2" bestFit="1" customWidth="1"/>
    <col min="6430" max="6430" width="7.7109375" style="2" customWidth="1"/>
    <col min="6431" max="6431" width="8" style="2" customWidth="1"/>
    <col min="6432" max="6433" width="7.85546875" style="2" customWidth="1"/>
    <col min="6434" max="6435" width="7.28515625" style="2" customWidth="1"/>
    <col min="6436" max="6436" width="8" style="2" customWidth="1"/>
    <col min="6437" max="6437" width="7.85546875" style="2" customWidth="1"/>
    <col min="6438" max="6438" width="6.7109375" style="2" bestFit="1" customWidth="1"/>
    <col min="6439" max="6439" width="9.28515625" style="2" bestFit="1" customWidth="1"/>
    <col min="6440" max="6440" width="10.7109375" style="2" customWidth="1"/>
    <col min="6441" max="6441" width="9.7109375" style="2" bestFit="1" customWidth="1"/>
    <col min="6442" max="6442" width="11.85546875" style="2" bestFit="1" customWidth="1"/>
    <col min="6443" max="6443" width="10.7109375" style="2" bestFit="1" customWidth="1"/>
    <col min="6444" max="6444" width="7.28515625" style="2" bestFit="1" customWidth="1"/>
    <col min="6445" max="6445" width="9.7109375" style="2" bestFit="1" customWidth="1"/>
    <col min="6446" max="6446" width="9.140625" style="2" bestFit="1" customWidth="1"/>
    <col min="6447" max="6447" width="8.5703125" style="2" bestFit="1" customWidth="1"/>
    <col min="6448" max="6448" width="101.140625" style="2" customWidth="1"/>
    <col min="6449" max="6449" width="8.85546875" style="2" bestFit="1" customWidth="1"/>
    <col min="6450" max="6450" width="9.85546875" style="2" customWidth="1"/>
    <col min="6451" max="6451" width="4.42578125" style="2" customWidth="1"/>
    <col min="6452" max="6452" width="11.5703125" style="2" customWidth="1"/>
    <col min="6453" max="6453" width="12" style="2"/>
    <col min="6454" max="6454" width="14.42578125" style="2" bestFit="1" customWidth="1"/>
    <col min="6455" max="6455" width="10.42578125" style="2" customWidth="1"/>
    <col min="6456" max="6456" width="12.28515625" style="2" customWidth="1"/>
    <col min="6457" max="6457" width="12" style="2"/>
    <col min="6458" max="6458" width="9.42578125" style="2" customWidth="1"/>
    <col min="6459" max="6460" width="12" style="2"/>
    <col min="6461" max="6462" width="14.42578125" style="2" customWidth="1"/>
    <col min="6463" max="6463" width="14.28515625" style="2" customWidth="1"/>
    <col min="6464" max="6464" width="12.7109375" style="2" customWidth="1"/>
    <col min="6465" max="6469" width="12" style="2"/>
    <col min="6470" max="6470" width="14.28515625" style="2" bestFit="1" customWidth="1"/>
    <col min="6471" max="6656" width="12" style="2"/>
    <col min="6657" max="6657" width="8" style="2" bestFit="1" customWidth="1"/>
    <col min="6658" max="6660" width="6" style="2" customWidth="1"/>
    <col min="6661" max="6661" width="7.140625" style="2" bestFit="1" customWidth="1"/>
    <col min="6662" max="6663" width="7.140625" style="2" customWidth="1"/>
    <col min="6664" max="6666" width="8.28515625" style="2" customWidth="1"/>
    <col min="6667" max="6667" width="7.140625" style="2" bestFit="1" customWidth="1"/>
    <col min="6668" max="6668" width="6" style="2" customWidth="1"/>
    <col min="6669" max="6669" width="9.42578125" style="2" customWidth="1"/>
    <col min="6670" max="6670" width="8.140625" style="2" bestFit="1" customWidth="1"/>
    <col min="6671" max="6671" width="8.85546875" style="2" bestFit="1" customWidth="1"/>
    <col min="6672" max="6672" width="9.140625" style="2" bestFit="1" customWidth="1"/>
    <col min="6673" max="6673" width="45.140625" style="2" bestFit="1" customWidth="1"/>
    <col min="6674" max="6674" width="2.140625" style="2" customWidth="1"/>
    <col min="6675" max="6675" width="8" style="2" bestFit="1" customWidth="1"/>
    <col min="6676" max="6676" width="6.85546875" style="2" customWidth="1"/>
    <col min="6677" max="6678" width="7.42578125" style="2" customWidth="1"/>
    <col min="6679" max="6680" width="8" style="2" customWidth="1"/>
    <col min="6681" max="6681" width="7.42578125" style="2" customWidth="1"/>
    <col min="6682" max="6682" width="7.5703125" style="2" customWidth="1"/>
    <col min="6683" max="6684" width="7.42578125" style="2" customWidth="1"/>
    <col min="6685" max="6685" width="11.140625" style="2" bestFit="1" customWidth="1"/>
    <col min="6686" max="6686" width="7.7109375" style="2" customWidth="1"/>
    <col min="6687" max="6687" width="8" style="2" customWidth="1"/>
    <col min="6688" max="6689" width="7.85546875" style="2" customWidth="1"/>
    <col min="6690" max="6691" width="7.28515625" style="2" customWidth="1"/>
    <col min="6692" max="6692" width="8" style="2" customWidth="1"/>
    <col min="6693" max="6693" width="7.85546875" style="2" customWidth="1"/>
    <col min="6694" max="6694" width="6.7109375" style="2" bestFit="1" customWidth="1"/>
    <col min="6695" max="6695" width="9.28515625" style="2" bestFit="1" customWidth="1"/>
    <col min="6696" max="6696" width="10.7109375" style="2" customWidth="1"/>
    <col min="6697" max="6697" width="9.7109375" style="2" bestFit="1" customWidth="1"/>
    <col min="6698" max="6698" width="11.85546875" style="2" bestFit="1" customWidth="1"/>
    <col min="6699" max="6699" width="10.7109375" style="2" bestFit="1" customWidth="1"/>
    <col min="6700" max="6700" width="7.28515625" style="2" bestFit="1" customWidth="1"/>
    <col min="6701" max="6701" width="9.7109375" style="2" bestFit="1" customWidth="1"/>
    <col min="6702" max="6702" width="9.140625" style="2" bestFit="1" customWidth="1"/>
    <col min="6703" max="6703" width="8.5703125" style="2" bestFit="1" customWidth="1"/>
    <col min="6704" max="6704" width="101.140625" style="2" customWidth="1"/>
    <col min="6705" max="6705" width="8.85546875" style="2" bestFit="1" customWidth="1"/>
    <col min="6706" max="6706" width="9.85546875" style="2" customWidth="1"/>
    <col min="6707" max="6707" width="4.42578125" style="2" customWidth="1"/>
    <col min="6708" max="6708" width="11.5703125" style="2" customWidth="1"/>
    <col min="6709" max="6709" width="12" style="2"/>
    <col min="6710" max="6710" width="14.42578125" style="2" bestFit="1" customWidth="1"/>
    <col min="6711" max="6711" width="10.42578125" style="2" customWidth="1"/>
    <col min="6712" max="6712" width="12.28515625" style="2" customWidth="1"/>
    <col min="6713" max="6713" width="12" style="2"/>
    <col min="6714" max="6714" width="9.42578125" style="2" customWidth="1"/>
    <col min="6715" max="6716" width="12" style="2"/>
    <col min="6717" max="6718" width="14.42578125" style="2" customWidth="1"/>
    <col min="6719" max="6719" width="14.28515625" style="2" customWidth="1"/>
    <col min="6720" max="6720" width="12.7109375" style="2" customWidth="1"/>
    <col min="6721" max="6725" width="12" style="2"/>
    <col min="6726" max="6726" width="14.28515625" style="2" bestFit="1" customWidth="1"/>
    <col min="6727" max="6912" width="12" style="2"/>
    <col min="6913" max="6913" width="8" style="2" bestFit="1" customWidth="1"/>
    <col min="6914" max="6916" width="6" style="2" customWidth="1"/>
    <col min="6917" max="6917" width="7.140625" style="2" bestFit="1" customWidth="1"/>
    <col min="6918" max="6919" width="7.140625" style="2" customWidth="1"/>
    <col min="6920" max="6922" width="8.28515625" style="2" customWidth="1"/>
    <col min="6923" max="6923" width="7.140625" style="2" bestFit="1" customWidth="1"/>
    <col min="6924" max="6924" width="6" style="2" customWidth="1"/>
    <col min="6925" max="6925" width="9.42578125" style="2" customWidth="1"/>
    <col min="6926" max="6926" width="8.140625" style="2" bestFit="1" customWidth="1"/>
    <col min="6927" max="6927" width="8.85546875" style="2" bestFit="1" customWidth="1"/>
    <col min="6928" max="6928" width="9.140625" style="2" bestFit="1" customWidth="1"/>
    <col min="6929" max="6929" width="45.140625" style="2" bestFit="1" customWidth="1"/>
    <col min="6930" max="6930" width="2.140625" style="2" customWidth="1"/>
    <col min="6931" max="6931" width="8" style="2" bestFit="1" customWidth="1"/>
    <col min="6932" max="6932" width="6.85546875" style="2" customWidth="1"/>
    <col min="6933" max="6934" width="7.42578125" style="2" customWidth="1"/>
    <col min="6935" max="6936" width="8" style="2" customWidth="1"/>
    <col min="6937" max="6937" width="7.42578125" style="2" customWidth="1"/>
    <col min="6938" max="6938" width="7.5703125" style="2" customWidth="1"/>
    <col min="6939" max="6940" width="7.42578125" style="2" customWidth="1"/>
    <col min="6941" max="6941" width="11.140625" style="2" bestFit="1" customWidth="1"/>
    <col min="6942" max="6942" width="7.7109375" style="2" customWidth="1"/>
    <col min="6943" max="6943" width="8" style="2" customWidth="1"/>
    <col min="6944" max="6945" width="7.85546875" style="2" customWidth="1"/>
    <col min="6946" max="6947" width="7.28515625" style="2" customWidth="1"/>
    <col min="6948" max="6948" width="8" style="2" customWidth="1"/>
    <col min="6949" max="6949" width="7.85546875" style="2" customWidth="1"/>
    <col min="6950" max="6950" width="6.7109375" style="2" bestFit="1" customWidth="1"/>
    <col min="6951" max="6951" width="9.28515625" style="2" bestFit="1" customWidth="1"/>
    <col min="6952" max="6952" width="10.7109375" style="2" customWidth="1"/>
    <col min="6953" max="6953" width="9.7109375" style="2" bestFit="1" customWidth="1"/>
    <col min="6954" max="6954" width="11.85546875" style="2" bestFit="1" customWidth="1"/>
    <col min="6955" max="6955" width="10.7109375" style="2" bestFit="1" customWidth="1"/>
    <col min="6956" max="6956" width="7.28515625" style="2" bestFit="1" customWidth="1"/>
    <col min="6957" max="6957" width="9.7109375" style="2" bestFit="1" customWidth="1"/>
    <col min="6958" max="6958" width="9.140625" style="2" bestFit="1" customWidth="1"/>
    <col min="6959" max="6959" width="8.5703125" style="2" bestFit="1" customWidth="1"/>
    <col min="6960" max="6960" width="101.140625" style="2" customWidth="1"/>
    <col min="6961" max="6961" width="8.85546875" style="2" bestFit="1" customWidth="1"/>
    <col min="6962" max="6962" width="9.85546875" style="2" customWidth="1"/>
    <col min="6963" max="6963" width="4.42578125" style="2" customWidth="1"/>
    <col min="6964" max="6964" width="11.5703125" style="2" customWidth="1"/>
    <col min="6965" max="6965" width="12" style="2"/>
    <col min="6966" max="6966" width="14.42578125" style="2" bestFit="1" customWidth="1"/>
    <col min="6967" max="6967" width="10.42578125" style="2" customWidth="1"/>
    <col min="6968" max="6968" width="12.28515625" style="2" customWidth="1"/>
    <col min="6969" max="6969" width="12" style="2"/>
    <col min="6970" max="6970" width="9.42578125" style="2" customWidth="1"/>
    <col min="6971" max="6972" width="12" style="2"/>
    <col min="6973" max="6974" width="14.42578125" style="2" customWidth="1"/>
    <col min="6975" max="6975" width="14.28515625" style="2" customWidth="1"/>
    <col min="6976" max="6976" width="12.7109375" style="2" customWidth="1"/>
    <col min="6977" max="6981" width="12" style="2"/>
    <col min="6982" max="6982" width="14.28515625" style="2" bestFit="1" customWidth="1"/>
    <col min="6983" max="7168" width="12" style="2"/>
    <col min="7169" max="7169" width="8" style="2" bestFit="1" customWidth="1"/>
    <col min="7170" max="7172" width="6" style="2" customWidth="1"/>
    <col min="7173" max="7173" width="7.140625" style="2" bestFit="1" customWidth="1"/>
    <col min="7174" max="7175" width="7.140625" style="2" customWidth="1"/>
    <col min="7176" max="7178" width="8.28515625" style="2" customWidth="1"/>
    <col min="7179" max="7179" width="7.140625" style="2" bestFit="1" customWidth="1"/>
    <col min="7180" max="7180" width="6" style="2" customWidth="1"/>
    <col min="7181" max="7181" width="9.42578125" style="2" customWidth="1"/>
    <col min="7182" max="7182" width="8.140625" style="2" bestFit="1" customWidth="1"/>
    <col min="7183" max="7183" width="8.85546875" style="2" bestFit="1" customWidth="1"/>
    <col min="7184" max="7184" width="9.140625" style="2" bestFit="1" customWidth="1"/>
    <col min="7185" max="7185" width="45.140625" style="2" bestFit="1" customWidth="1"/>
    <col min="7186" max="7186" width="2.140625" style="2" customWidth="1"/>
    <col min="7187" max="7187" width="8" style="2" bestFit="1" customWidth="1"/>
    <col min="7188" max="7188" width="6.85546875" style="2" customWidth="1"/>
    <col min="7189" max="7190" width="7.42578125" style="2" customWidth="1"/>
    <col min="7191" max="7192" width="8" style="2" customWidth="1"/>
    <col min="7193" max="7193" width="7.42578125" style="2" customWidth="1"/>
    <col min="7194" max="7194" width="7.5703125" style="2" customWidth="1"/>
    <col min="7195" max="7196" width="7.42578125" style="2" customWidth="1"/>
    <col min="7197" max="7197" width="11.140625" style="2" bestFit="1" customWidth="1"/>
    <col min="7198" max="7198" width="7.7109375" style="2" customWidth="1"/>
    <col min="7199" max="7199" width="8" style="2" customWidth="1"/>
    <col min="7200" max="7201" width="7.85546875" style="2" customWidth="1"/>
    <col min="7202" max="7203" width="7.28515625" style="2" customWidth="1"/>
    <col min="7204" max="7204" width="8" style="2" customWidth="1"/>
    <col min="7205" max="7205" width="7.85546875" style="2" customWidth="1"/>
    <col min="7206" max="7206" width="6.7109375" style="2" bestFit="1" customWidth="1"/>
    <col min="7207" max="7207" width="9.28515625" style="2" bestFit="1" customWidth="1"/>
    <col min="7208" max="7208" width="10.7109375" style="2" customWidth="1"/>
    <col min="7209" max="7209" width="9.7109375" style="2" bestFit="1" customWidth="1"/>
    <col min="7210" max="7210" width="11.85546875" style="2" bestFit="1" customWidth="1"/>
    <col min="7211" max="7211" width="10.7109375" style="2" bestFit="1" customWidth="1"/>
    <col min="7212" max="7212" width="7.28515625" style="2" bestFit="1" customWidth="1"/>
    <col min="7213" max="7213" width="9.7109375" style="2" bestFit="1" customWidth="1"/>
    <col min="7214" max="7214" width="9.140625" style="2" bestFit="1" customWidth="1"/>
    <col min="7215" max="7215" width="8.5703125" style="2" bestFit="1" customWidth="1"/>
    <col min="7216" max="7216" width="101.140625" style="2" customWidth="1"/>
    <col min="7217" max="7217" width="8.85546875" style="2" bestFit="1" customWidth="1"/>
    <col min="7218" max="7218" width="9.85546875" style="2" customWidth="1"/>
    <col min="7219" max="7219" width="4.42578125" style="2" customWidth="1"/>
    <col min="7220" max="7220" width="11.5703125" style="2" customWidth="1"/>
    <col min="7221" max="7221" width="12" style="2"/>
    <col min="7222" max="7222" width="14.42578125" style="2" bestFit="1" customWidth="1"/>
    <col min="7223" max="7223" width="10.42578125" style="2" customWidth="1"/>
    <col min="7224" max="7224" width="12.28515625" style="2" customWidth="1"/>
    <col min="7225" max="7225" width="12" style="2"/>
    <col min="7226" max="7226" width="9.42578125" style="2" customWidth="1"/>
    <col min="7227" max="7228" width="12" style="2"/>
    <col min="7229" max="7230" width="14.42578125" style="2" customWidth="1"/>
    <col min="7231" max="7231" width="14.28515625" style="2" customWidth="1"/>
    <col min="7232" max="7232" width="12.7109375" style="2" customWidth="1"/>
    <col min="7233" max="7237" width="12" style="2"/>
    <col min="7238" max="7238" width="14.28515625" style="2" bestFit="1" customWidth="1"/>
    <col min="7239" max="7424" width="12" style="2"/>
    <col min="7425" max="7425" width="8" style="2" bestFit="1" customWidth="1"/>
    <col min="7426" max="7428" width="6" style="2" customWidth="1"/>
    <col min="7429" max="7429" width="7.140625" style="2" bestFit="1" customWidth="1"/>
    <col min="7430" max="7431" width="7.140625" style="2" customWidth="1"/>
    <col min="7432" max="7434" width="8.28515625" style="2" customWidth="1"/>
    <col min="7435" max="7435" width="7.140625" style="2" bestFit="1" customWidth="1"/>
    <col min="7436" max="7436" width="6" style="2" customWidth="1"/>
    <col min="7437" max="7437" width="9.42578125" style="2" customWidth="1"/>
    <col min="7438" max="7438" width="8.140625" style="2" bestFit="1" customWidth="1"/>
    <col min="7439" max="7439" width="8.85546875" style="2" bestFit="1" customWidth="1"/>
    <col min="7440" max="7440" width="9.140625" style="2" bestFit="1" customWidth="1"/>
    <col min="7441" max="7441" width="45.140625" style="2" bestFit="1" customWidth="1"/>
    <col min="7442" max="7442" width="2.140625" style="2" customWidth="1"/>
    <col min="7443" max="7443" width="8" style="2" bestFit="1" customWidth="1"/>
    <col min="7444" max="7444" width="6.85546875" style="2" customWidth="1"/>
    <col min="7445" max="7446" width="7.42578125" style="2" customWidth="1"/>
    <col min="7447" max="7448" width="8" style="2" customWidth="1"/>
    <col min="7449" max="7449" width="7.42578125" style="2" customWidth="1"/>
    <col min="7450" max="7450" width="7.5703125" style="2" customWidth="1"/>
    <col min="7451" max="7452" width="7.42578125" style="2" customWidth="1"/>
    <col min="7453" max="7453" width="11.140625" style="2" bestFit="1" customWidth="1"/>
    <col min="7454" max="7454" width="7.7109375" style="2" customWidth="1"/>
    <col min="7455" max="7455" width="8" style="2" customWidth="1"/>
    <col min="7456" max="7457" width="7.85546875" style="2" customWidth="1"/>
    <col min="7458" max="7459" width="7.28515625" style="2" customWidth="1"/>
    <col min="7460" max="7460" width="8" style="2" customWidth="1"/>
    <col min="7461" max="7461" width="7.85546875" style="2" customWidth="1"/>
    <col min="7462" max="7462" width="6.7109375" style="2" bestFit="1" customWidth="1"/>
    <col min="7463" max="7463" width="9.28515625" style="2" bestFit="1" customWidth="1"/>
    <col min="7464" max="7464" width="10.7109375" style="2" customWidth="1"/>
    <col min="7465" max="7465" width="9.7109375" style="2" bestFit="1" customWidth="1"/>
    <col min="7466" max="7466" width="11.85546875" style="2" bestFit="1" customWidth="1"/>
    <col min="7467" max="7467" width="10.7109375" style="2" bestFit="1" customWidth="1"/>
    <col min="7468" max="7468" width="7.28515625" style="2" bestFit="1" customWidth="1"/>
    <col min="7469" max="7469" width="9.7109375" style="2" bestFit="1" customWidth="1"/>
    <col min="7470" max="7470" width="9.140625" style="2" bestFit="1" customWidth="1"/>
    <col min="7471" max="7471" width="8.5703125" style="2" bestFit="1" customWidth="1"/>
    <col min="7472" max="7472" width="101.140625" style="2" customWidth="1"/>
    <col min="7473" max="7473" width="8.85546875" style="2" bestFit="1" customWidth="1"/>
    <col min="7474" max="7474" width="9.85546875" style="2" customWidth="1"/>
    <col min="7475" max="7475" width="4.42578125" style="2" customWidth="1"/>
    <col min="7476" max="7476" width="11.5703125" style="2" customWidth="1"/>
    <col min="7477" max="7477" width="12" style="2"/>
    <col min="7478" max="7478" width="14.42578125" style="2" bestFit="1" customWidth="1"/>
    <col min="7479" max="7479" width="10.42578125" style="2" customWidth="1"/>
    <col min="7480" max="7480" width="12.28515625" style="2" customWidth="1"/>
    <col min="7481" max="7481" width="12" style="2"/>
    <col min="7482" max="7482" width="9.42578125" style="2" customWidth="1"/>
    <col min="7483" max="7484" width="12" style="2"/>
    <col min="7485" max="7486" width="14.42578125" style="2" customWidth="1"/>
    <col min="7487" max="7487" width="14.28515625" style="2" customWidth="1"/>
    <col min="7488" max="7488" width="12.7109375" style="2" customWidth="1"/>
    <col min="7489" max="7493" width="12" style="2"/>
    <col min="7494" max="7494" width="14.28515625" style="2" bestFit="1" customWidth="1"/>
    <col min="7495" max="7680" width="12" style="2"/>
    <col min="7681" max="7681" width="8" style="2" bestFit="1" customWidth="1"/>
    <col min="7682" max="7684" width="6" style="2" customWidth="1"/>
    <col min="7685" max="7685" width="7.140625" style="2" bestFit="1" customWidth="1"/>
    <col min="7686" max="7687" width="7.140625" style="2" customWidth="1"/>
    <col min="7688" max="7690" width="8.28515625" style="2" customWidth="1"/>
    <col min="7691" max="7691" width="7.140625" style="2" bestFit="1" customWidth="1"/>
    <col min="7692" max="7692" width="6" style="2" customWidth="1"/>
    <col min="7693" max="7693" width="9.42578125" style="2" customWidth="1"/>
    <col min="7694" max="7694" width="8.140625" style="2" bestFit="1" customWidth="1"/>
    <col min="7695" max="7695" width="8.85546875" style="2" bestFit="1" customWidth="1"/>
    <col min="7696" max="7696" width="9.140625" style="2" bestFit="1" customWidth="1"/>
    <col min="7697" max="7697" width="45.140625" style="2" bestFit="1" customWidth="1"/>
    <col min="7698" max="7698" width="2.140625" style="2" customWidth="1"/>
    <col min="7699" max="7699" width="8" style="2" bestFit="1" customWidth="1"/>
    <col min="7700" max="7700" width="6.85546875" style="2" customWidth="1"/>
    <col min="7701" max="7702" width="7.42578125" style="2" customWidth="1"/>
    <col min="7703" max="7704" width="8" style="2" customWidth="1"/>
    <col min="7705" max="7705" width="7.42578125" style="2" customWidth="1"/>
    <col min="7706" max="7706" width="7.5703125" style="2" customWidth="1"/>
    <col min="7707" max="7708" width="7.42578125" style="2" customWidth="1"/>
    <col min="7709" max="7709" width="11.140625" style="2" bestFit="1" customWidth="1"/>
    <col min="7710" max="7710" width="7.7109375" style="2" customWidth="1"/>
    <col min="7711" max="7711" width="8" style="2" customWidth="1"/>
    <col min="7712" max="7713" width="7.85546875" style="2" customWidth="1"/>
    <col min="7714" max="7715" width="7.28515625" style="2" customWidth="1"/>
    <col min="7716" max="7716" width="8" style="2" customWidth="1"/>
    <col min="7717" max="7717" width="7.85546875" style="2" customWidth="1"/>
    <col min="7718" max="7718" width="6.7109375" style="2" bestFit="1" customWidth="1"/>
    <col min="7719" max="7719" width="9.28515625" style="2" bestFit="1" customWidth="1"/>
    <col min="7720" max="7720" width="10.7109375" style="2" customWidth="1"/>
    <col min="7721" max="7721" width="9.7109375" style="2" bestFit="1" customWidth="1"/>
    <col min="7722" max="7722" width="11.85546875" style="2" bestFit="1" customWidth="1"/>
    <col min="7723" max="7723" width="10.7109375" style="2" bestFit="1" customWidth="1"/>
    <col min="7724" max="7724" width="7.28515625" style="2" bestFit="1" customWidth="1"/>
    <col min="7725" max="7725" width="9.7109375" style="2" bestFit="1" customWidth="1"/>
    <col min="7726" max="7726" width="9.140625" style="2" bestFit="1" customWidth="1"/>
    <col min="7727" max="7727" width="8.5703125" style="2" bestFit="1" customWidth="1"/>
    <col min="7728" max="7728" width="101.140625" style="2" customWidth="1"/>
    <col min="7729" max="7729" width="8.85546875" style="2" bestFit="1" customWidth="1"/>
    <col min="7730" max="7730" width="9.85546875" style="2" customWidth="1"/>
    <col min="7731" max="7731" width="4.42578125" style="2" customWidth="1"/>
    <col min="7732" max="7732" width="11.5703125" style="2" customWidth="1"/>
    <col min="7733" max="7733" width="12" style="2"/>
    <col min="7734" max="7734" width="14.42578125" style="2" bestFit="1" customWidth="1"/>
    <col min="7735" max="7735" width="10.42578125" style="2" customWidth="1"/>
    <col min="7736" max="7736" width="12.28515625" style="2" customWidth="1"/>
    <col min="7737" max="7737" width="12" style="2"/>
    <col min="7738" max="7738" width="9.42578125" style="2" customWidth="1"/>
    <col min="7739" max="7740" width="12" style="2"/>
    <col min="7741" max="7742" width="14.42578125" style="2" customWidth="1"/>
    <col min="7743" max="7743" width="14.28515625" style="2" customWidth="1"/>
    <col min="7744" max="7744" width="12.7109375" style="2" customWidth="1"/>
    <col min="7745" max="7749" width="12" style="2"/>
    <col min="7750" max="7750" width="14.28515625" style="2" bestFit="1" customWidth="1"/>
    <col min="7751" max="7936" width="12" style="2"/>
    <col min="7937" max="7937" width="8" style="2" bestFit="1" customWidth="1"/>
    <col min="7938" max="7940" width="6" style="2" customWidth="1"/>
    <col min="7941" max="7941" width="7.140625" style="2" bestFit="1" customWidth="1"/>
    <col min="7942" max="7943" width="7.140625" style="2" customWidth="1"/>
    <col min="7944" max="7946" width="8.28515625" style="2" customWidth="1"/>
    <col min="7947" max="7947" width="7.140625" style="2" bestFit="1" customWidth="1"/>
    <col min="7948" max="7948" width="6" style="2" customWidth="1"/>
    <col min="7949" max="7949" width="9.42578125" style="2" customWidth="1"/>
    <col min="7950" max="7950" width="8.140625" style="2" bestFit="1" customWidth="1"/>
    <col min="7951" max="7951" width="8.85546875" style="2" bestFit="1" customWidth="1"/>
    <col min="7952" max="7952" width="9.140625" style="2" bestFit="1" customWidth="1"/>
    <col min="7953" max="7953" width="45.140625" style="2" bestFit="1" customWidth="1"/>
    <col min="7954" max="7954" width="2.140625" style="2" customWidth="1"/>
    <col min="7955" max="7955" width="8" style="2" bestFit="1" customWidth="1"/>
    <col min="7956" max="7956" width="6.85546875" style="2" customWidth="1"/>
    <col min="7957" max="7958" width="7.42578125" style="2" customWidth="1"/>
    <col min="7959" max="7960" width="8" style="2" customWidth="1"/>
    <col min="7961" max="7961" width="7.42578125" style="2" customWidth="1"/>
    <col min="7962" max="7962" width="7.5703125" style="2" customWidth="1"/>
    <col min="7963" max="7964" width="7.42578125" style="2" customWidth="1"/>
    <col min="7965" max="7965" width="11.140625" style="2" bestFit="1" customWidth="1"/>
    <col min="7966" max="7966" width="7.7109375" style="2" customWidth="1"/>
    <col min="7967" max="7967" width="8" style="2" customWidth="1"/>
    <col min="7968" max="7969" width="7.85546875" style="2" customWidth="1"/>
    <col min="7970" max="7971" width="7.28515625" style="2" customWidth="1"/>
    <col min="7972" max="7972" width="8" style="2" customWidth="1"/>
    <col min="7973" max="7973" width="7.85546875" style="2" customWidth="1"/>
    <col min="7974" max="7974" width="6.7109375" style="2" bestFit="1" customWidth="1"/>
    <col min="7975" max="7975" width="9.28515625" style="2" bestFit="1" customWidth="1"/>
    <col min="7976" max="7976" width="10.7109375" style="2" customWidth="1"/>
    <col min="7977" max="7977" width="9.7109375" style="2" bestFit="1" customWidth="1"/>
    <col min="7978" max="7978" width="11.85546875" style="2" bestFit="1" customWidth="1"/>
    <col min="7979" max="7979" width="10.7109375" style="2" bestFit="1" customWidth="1"/>
    <col min="7980" max="7980" width="7.28515625" style="2" bestFit="1" customWidth="1"/>
    <col min="7981" max="7981" width="9.7109375" style="2" bestFit="1" customWidth="1"/>
    <col min="7982" max="7982" width="9.140625" style="2" bestFit="1" customWidth="1"/>
    <col min="7983" max="7983" width="8.5703125" style="2" bestFit="1" customWidth="1"/>
    <col min="7984" max="7984" width="101.140625" style="2" customWidth="1"/>
    <col min="7985" max="7985" width="8.85546875" style="2" bestFit="1" customWidth="1"/>
    <col min="7986" max="7986" width="9.85546875" style="2" customWidth="1"/>
    <col min="7987" max="7987" width="4.42578125" style="2" customWidth="1"/>
    <col min="7988" max="7988" width="11.5703125" style="2" customWidth="1"/>
    <col min="7989" max="7989" width="12" style="2"/>
    <col min="7990" max="7990" width="14.42578125" style="2" bestFit="1" customWidth="1"/>
    <col min="7991" max="7991" width="10.42578125" style="2" customWidth="1"/>
    <col min="7992" max="7992" width="12.28515625" style="2" customWidth="1"/>
    <col min="7993" max="7993" width="12" style="2"/>
    <col min="7994" max="7994" width="9.42578125" style="2" customWidth="1"/>
    <col min="7995" max="7996" width="12" style="2"/>
    <col min="7997" max="7998" width="14.42578125" style="2" customWidth="1"/>
    <col min="7999" max="7999" width="14.28515625" style="2" customWidth="1"/>
    <col min="8000" max="8000" width="12.7109375" style="2" customWidth="1"/>
    <col min="8001" max="8005" width="12" style="2"/>
    <col min="8006" max="8006" width="14.28515625" style="2" bestFit="1" customWidth="1"/>
    <col min="8007" max="8192" width="12" style="2"/>
    <col min="8193" max="8193" width="8" style="2" bestFit="1" customWidth="1"/>
    <col min="8194" max="8196" width="6" style="2" customWidth="1"/>
    <col min="8197" max="8197" width="7.140625" style="2" bestFit="1" customWidth="1"/>
    <col min="8198" max="8199" width="7.140625" style="2" customWidth="1"/>
    <col min="8200" max="8202" width="8.28515625" style="2" customWidth="1"/>
    <col min="8203" max="8203" width="7.140625" style="2" bestFit="1" customWidth="1"/>
    <col min="8204" max="8204" width="6" style="2" customWidth="1"/>
    <col min="8205" max="8205" width="9.42578125" style="2" customWidth="1"/>
    <col min="8206" max="8206" width="8.140625" style="2" bestFit="1" customWidth="1"/>
    <col min="8207" max="8207" width="8.85546875" style="2" bestFit="1" customWidth="1"/>
    <col min="8208" max="8208" width="9.140625" style="2" bestFit="1" customWidth="1"/>
    <col min="8209" max="8209" width="45.140625" style="2" bestFit="1" customWidth="1"/>
    <col min="8210" max="8210" width="2.140625" style="2" customWidth="1"/>
    <col min="8211" max="8211" width="8" style="2" bestFit="1" customWidth="1"/>
    <col min="8212" max="8212" width="6.85546875" style="2" customWidth="1"/>
    <col min="8213" max="8214" width="7.42578125" style="2" customWidth="1"/>
    <col min="8215" max="8216" width="8" style="2" customWidth="1"/>
    <col min="8217" max="8217" width="7.42578125" style="2" customWidth="1"/>
    <col min="8218" max="8218" width="7.5703125" style="2" customWidth="1"/>
    <col min="8219" max="8220" width="7.42578125" style="2" customWidth="1"/>
    <col min="8221" max="8221" width="11.140625" style="2" bestFit="1" customWidth="1"/>
    <col min="8222" max="8222" width="7.7109375" style="2" customWidth="1"/>
    <col min="8223" max="8223" width="8" style="2" customWidth="1"/>
    <col min="8224" max="8225" width="7.85546875" style="2" customWidth="1"/>
    <col min="8226" max="8227" width="7.28515625" style="2" customWidth="1"/>
    <col min="8228" max="8228" width="8" style="2" customWidth="1"/>
    <col min="8229" max="8229" width="7.85546875" style="2" customWidth="1"/>
    <col min="8230" max="8230" width="6.7109375" style="2" bestFit="1" customWidth="1"/>
    <col min="8231" max="8231" width="9.28515625" style="2" bestFit="1" customWidth="1"/>
    <col min="8232" max="8232" width="10.7109375" style="2" customWidth="1"/>
    <col min="8233" max="8233" width="9.7109375" style="2" bestFit="1" customWidth="1"/>
    <col min="8234" max="8234" width="11.85546875" style="2" bestFit="1" customWidth="1"/>
    <col min="8235" max="8235" width="10.7109375" style="2" bestFit="1" customWidth="1"/>
    <col min="8236" max="8236" width="7.28515625" style="2" bestFit="1" customWidth="1"/>
    <col min="8237" max="8237" width="9.7109375" style="2" bestFit="1" customWidth="1"/>
    <col min="8238" max="8238" width="9.140625" style="2" bestFit="1" customWidth="1"/>
    <col min="8239" max="8239" width="8.5703125" style="2" bestFit="1" customWidth="1"/>
    <col min="8240" max="8240" width="101.140625" style="2" customWidth="1"/>
    <col min="8241" max="8241" width="8.85546875" style="2" bestFit="1" customWidth="1"/>
    <col min="8242" max="8242" width="9.85546875" style="2" customWidth="1"/>
    <col min="8243" max="8243" width="4.42578125" style="2" customWidth="1"/>
    <col min="8244" max="8244" width="11.5703125" style="2" customWidth="1"/>
    <col min="8245" max="8245" width="12" style="2"/>
    <col min="8246" max="8246" width="14.42578125" style="2" bestFit="1" customWidth="1"/>
    <col min="8247" max="8247" width="10.42578125" style="2" customWidth="1"/>
    <col min="8248" max="8248" width="12.28515625" style="2" customWidth="1"/>
    <col min="8249" max="8249" width="12" style="2"/>
    <col min="8250" max="8250" width="9.42578125" style="2" customWidth="1"/>
    <col min="8251" max="8252" width="12" style="2"/>
    <col min="8253" max="8254" width="14.42578125" style="2" customWidth="1"/>
    <col min="8255" max="8255" width="14.28515625" style="2" customWidth="1"/>
    <col min="8256" max="8256" width="12.7109375" style="2" customWidth="1"/>
    <col min="8257" max="8261" width="12" style="2"/>
    <col min="8262" max="8262" width="14.28515625" style="2" bestFit="1" customWidth="1"/>
    <col min="8263" max="8448" width="12" style="2"/>
    <col min="8449" max="8449" width="8" style="2" bestFit="1" customWidth="1"/>
    <col min="8450" max="8452" width="6" style="2" customWidth="1"/>
    <col min="8453" max="8453" width="7.140625" style="2" bestFit="1" customWidth="1"/>
    <col min="8454" max="8455" width="7.140625" style="2" customWidth="1"/>
    <col min="8456" max="8458" width="8.28515625" style="2" customWidth="1"/>
    <col min="8459" max="8459" width="7.140625" style="2" bestFit="1" customWidth="1"/>
    <col min="8460" max="8460" width="6" style="2" customWidth="1"/>
    <col min="8461" max="8461" width="9.42578125" style="2" customWidth="1"/>
    <col min="8462" max="8462" width="8.140625" style="2" bestFit="1" customWidth="1"/>
    <col min="8463" max="8463" width="8.85546875" style="2" bestFit="1" customWidth="1"/>
    <col min="8464" max="8464" width="9.140625" style="2" bestFit="1" customWidth="1"/>
    <col min="8465" max="8465" width="45.140625" style="2" bestFit="1" customWidth="1"/>
    <col min="8466" max="8466" width="2.140625" style="2" customWidth="1"/>
    <col min="8467" max="8467" width="8" style="2" bestFit="1" customWidth="1"/>
    <col min="8468" max="8468" width="6.85546875" style="2" customWidth="1"/>
    <col min="8469" max="8470" width="7.42578125" style="2" customWidth="1"/>
    <col min="8471" max="8472" width="8" style="2" customWidth="1"/>
    <col min="8473" max="8473" width="7.42578125" style="2" customWidth="1"/>
    <col min="8474" max="8474" width="7.5703125" style="2" customWidth="1"/>
    <col min="8475" max="8476" width="7.42578125" style="2" customWidth="1"/>
    <col min="8477" max="8477" width="11.140625" style="2" bestFit="1" customWidth="1"/>
    <col min="8478" max="8478" width="7.7109375" style="2" customWidth="1"/>
    <col min="8479" max="8479" width="8" style="2" customWidth="1"/>
    <col min="8480" max="8481" width="7.85546875" style="2" customWidth="1"/>
    <col min="8482" max="8483" width="7.28515625" style="2" customWidth="1"/>
    <col min="8484" max="8484" width="8" style="2" customWidth="1"/>
    <col min="8485" max="8485" width="7.85546875" style="2" customWidth="1"/>
    <col min="8486" max="8486" width="6.7109375" style="2" bestFit="1" customWidth="1"/>
    <col min="8487" max="8487" width="9.28515625" style="2" bestFit="1" customWidth="1"/>
    <col min="8488" max="8488" width="10.7109375" style="2" customWidth="1"/>
    <col min="8489" max="8489" width="9.7109375" style="2" bestFit="1" customWidth="1"/>
    <col min="8490" max="8490" width="11.85546875" style="2" bestFit="1" customWidth="1"/>
    <col min="8491" max="8491" width="10.7109375" style="2" bestFit="1" customWidth="1"/>
    <col min="8492" max="8492" width="7.28515625" style="2" bestFit="1" customWidth="1"/>
    <col min="8493" max="8493" width="9.7109375" style="2" bestFit="1" customWidth="1"/>
    <col min="8494" max="8494" width="9.140625" style="2" bestFit="1" customWidth="1"/>
    <col min="8495" max="8495" width="8.5703125" style="2" bestFit="1" customWidth="1"/>
    <col min="8496" max="8496" width="101.140625" style="2" customWidth="1"/>
    <col min="8497" max="8497" width="8.85546875" style="2" bestFit="1" customWidth="1"/>
    <col min="8498" max="8498" width="9.85546875" style="2" customWidth="1"/>
    <col min="8499" max="8499" width="4.42578125" style="2" customWidth="1"/>
    <col min="8500" max="8500" width="11.5703125" style="2" customWidth="1"/>
    <col min="8501" max="8501" width="12" style="2"/>
    <col min="8502" max="8502" width="14.42578125" style="2" bestFit="1" customWidth="1"/>
    <col min="8503" max="8503" width="10.42578125" style="2" customWidth="1"/>
    <col min="8504" max="8504" width="12.28515625" style="2" customWidth="1"/>
    <col min="8505" max="8505" width="12" style="2"/>
    <col min="8506" max="8506" width="9.42578125" style="2" customWidth="1"/>
    <col min="8507" max="8508" width="12" style="2"/>
    <col min="8509" max="8510" width="14.42578125" style="2" customWidth="1"/>
    <col min="8511" max="8511" width="14.28515625" style="2" customWidth="1"/>
    <col min="8512" max="8512" width="12.7109375" style="2" customWidth="1"/>
    <col min="8513" max="8517" width="12" style="2"/>
    <col min="8518" max="8518" width="14.28515625" style="2" bestFit="1" customWidth="1"/>
    <col min="8519" max="8704" width="12" style="2"/>
    <col min="8705" max="8705" width="8" style="2" bestFit="1" customWidth="1"/>
    <col min="8706" max="8708" width="6" style="2" customWidth="1"/>
    <col min="8709" max="8709" width="7.140625" style="2" bestFit="1" customWidth="1"/>
    <col min="8710" max="8711" width="7.140625" style="2" customWidth="1"/>
    <col min="8712" max="8714" width="8.28515625" style="2" customWidth="1"/>
    <col min="8715" max="8715" width="7.140625" style="2" bestFit="1" customWidth="1"/>
    <col min="8716" max="8716" width="6" style="2" customWidth="1"/>
    <col min="8717" max="8717" width="9.42578125" style="2" customWidth="1"/>
    <col min="8718" max="8718" width="8.140625" style="2" bestFit="1" customWidth="1"/>
    <col min="8719" max="8719" width="8.85546875" style="2" bestFit="1" customWidth="1"/>
    <col min="8720" max="8720" width="9.140625" style="2" bestFit="1" customWidth="1"/>
    <col min="8721" max="8721" width="45.140625" style="2" bestFit="1" customWidth="1"/>
    <col min="8722" max="8722" width="2.140625" style="2" customWidth="1"/>
    <col min="8723" max="8723" width="8" style="2" bestFit="1" customWidth="1"/>
    <col min="8724" max="8724" width="6.85546875" style="2" customWidth="1"/>
    <col min="8725" max="8726" width="7.42578125" style="2" customWidth="1"/>
    <col min="8727" max="8728" width="8" style="2" customWidth="1"/>
    <col min="8729" max="8729" width="7.42578125" style="2" customWidth="1"/>
    <col min="8730" max="8730" width="7.5703125" style="2" customWidth="1"/>
    <col min="8731" max="8732" width="7.42578125" style="2" customWidth="1"/>
    <col min="8733" max="8733" width="11.140625" style="2" bestFit="1" customWidth="1"/>
    <col min="8734" max="8734" width="7.7109375" style="2" customWidth="1"/>
    <col min="8735" max="8735" width="8" style="2" customWidth="1"/>
    <col min="8736" max="8737" width="7.85546875" style="2" customWidth="1"/>
    <col min="8738" max="8739" width="7.28515625" style="2" customWidth="1"/>
    <col min="8740" max="8740" width="8" style="2" customWidth="1"/>
    <col min="8741" max="8741" width="7.85546875" style="2" customWidth="1"/>
    <col min="8742" max="8742" width="6.7109375" style="2" bestFit="1" customWidth="1"/>
    <col min="8743" max="8743" width="9.28515625" style="2" bestFit="1" customWidth="1"/>
    <col min="8744" max="8744" width="10.7109375" style="2" customWidth="1"/>
    <col min="8745" max="8745" width="9.7109375" style="2" bestFit="1" customWidth="1"/>
    <col min="8746" max="8746" width="11.85546875" style="2" bestFit="1" customWidth="1"/>
    <col min="8747" max="8747" width="10.7109375" style="2" bestFit="1" customWidth="1"/>
    <col min="8748" max="8748" width="7.28515625" style="2" bestFit="1" customWidth="1"/>
    <col min="8749" max="8749" width="9.7109375" style="2" bestFit="1" customWidth="1"/>
    <col min="8750" max="8750" width="9.140625" style="2" bestFit="1" customWidth="1"/>
    <col min="8751" max="8751" width="8.5703125" style="2" bestFit="1" customWidth="1"/>
    <col min="8752" max="8752" width="101.140625" style="2" customWidth="1"/>
    <col min="8753" max="8753" width="8.85546875" style="2" bestFit="1" customWidth="1"/>
    <col min="8754" max="8754" width="9.85546875" style="2" customWidth="1"/>
    <col min="8755" max="8755" width="4.42578125" style="2" customWidth="1"/>
    <col min="8756" max="8756" width="11.5703125" style="2" customWidth="1"/>
    <col min="8757" max="8757" width="12" style="2"/>
    <col min="8758" max="8758" width="14.42578125" style="2" bestFit="1" customWidth="1"/>
    <col min="8759" max="8759" width="10.42578125" style="2" customWidth="1"/>
    <col min="8760" max="8760" width="12.28515625" style="2" customWidth="1"/>
    <col min="8761" max="8761" width="12" style="2"/>
    <col min="8762" max="8762" width="9.42578125" style="2" customWidth="1"/>
    <col min="8763" max="8764" width="12" style="2"/>
    <col min="8765" max="8766" width="14.42578125" style="2" customWidth="1"/>
    <col min="8767" max="8767" width="14.28515625" style="2" customWidth="1"/>
    <col min="8768" max="8768" width="12.7109375" style="2" customWidth="1"/>
    <col min="8769" max="8773" width="12" style="2"/>
    <col min="8774" max="8774" width="14.28515625" style="2" bestFit="1" customWidth="1"/>
    <col min="8775" max="8960" width="12" style="2"/>
    <col min="8961" max="8961" width="8" style="2" bestFit="1" customWidth="1"/>
    <col min="8962" max="8964" width="6" style="2" customWidth="1"/>
    <col min="8965" max="8965" width="7.140625" style="2" bestFit="1" customWidth="1"/>
    <col min="8966" max="8967" width="7.140625" style="2" customWidth="1"/>
    <col min="8968" max="8970" width="8.28515625" style="2" customWidth="1"/>
    <col min="8971" max="8971" width="7.140625" style="2" bestFit="1" customWidth="1"/>
    <col min="8972" max="8972" width="6" style="2" customWidth="1"/>
    <col min="8973" max="8973" width="9.42578125" style="2" customWidth="1"/>
    <col min="8974" max="8974" width="8.140625" style="2" bestFit="1" customWidth="1"/>
    <col min="8975" max="8975" width="8.85546875" style="2" bestFit="1" customWidth="1"/>
    <col min="8976" max="8976" width="9.140625" style="2" bestFit="1" customWidth="1"/>
    <col min="8977" max="8977" width="45.140625" style="2" bestFit="1" customWidth="1"/>
    <col min="8978" max="8978" width="2.140625" style="2" customWidth="1"/>
    <col min="8979" max="8979" width="8" style="2" bestFit="1" customWidth="1"/>
    <col min="8980" max="8980" width="6.85546875" style="2" customWidth="1"/>
    <col min="8981" max="8982" width="7.42578125" style="2" customWidth="1"/>
    <col min="8983" max="8984" width="8" style="2" customWidth="1"/>
    <col min="8985" max="8985" width="7.42578125" style="2" customWidth="1"/>
    <col min="8986" max="8986" width="7.5703125" style="2" customWidth="1"/>
    <col min="8987" max="8988" width="7.42578125" style="2" customWidth="1"/>
    <col min="8989" max="8989" width="11.140625" style="2" bestFit="1" customWidth="1"/>
    <col min="8990" max="8990" width="7.7109375" style="2" customWidth="1"/>
    <col min="8991" max="8991" width="8" style="2" customWidth="1"/>
    <col min="8992" max="8993" width="7.85546875" style="2" customWidth="1"/>
    <col min="8994" max="8995" width="7.28515625" style="2" customWidth="1"/>
    <col min="8996" max="8996" width="8" style="2" customWidth="1"/>
    <col min="8997" max="8997" width="7.85546875" style="2" customWidth="1"/>
    <col min="8998" max="8998" width="6.7109375" style="2" bestFit="1" customWidth="1"/>
    <col min="8999" max="8999" width="9.28515625" style="2" bestFit="1" customWidth="1"/>
    <col min="9000" max="9000" width="10.7109375" style="2" customWidth="1"/>
    <col min="9001" max="9001" width="9.7109375" style="2" bestFit="1" customWidth="1"/>
    <col min="9002" max="9002" width="11.85546875" style="2" bestFit="1" customWidth="1"/>
    <col min="9003" max="9003" width="10.7109375" style="2" bestFit="1" customWidth="1"/>
    <col min="9004" max="9004" width="7.28515625" style="2" bestFit="1" customWidth="1"/>
    <col min="9005" max="9005" width="9.7109375" style="2" bestFit="1" customWidth="1"/>
    <col min="9006" max="9006" width="9.140625" style="2" bestFit="1" customWidth="1"/>
    <col min="9007" max="9007" width="8.5703125" style="2" bestFit="1" customWidth="1"/>
    <col min="9008" max="9008" width="101.140625" style="2" customWidth="1"/>
    <col min="9009" max="9009" width="8.85546875" style="2" bestFit="1" customWidth="1"/>
    <col min="9010" max="9010" width="9.85546875" style="2" customWidth="1"/>
    <col min="9011" max="9011" width="4.42578125" style="2" customWidth="1"/>
    <col min="9012" max="9012" width="11.5703125" style="2" customWidth="1"/>
    <col min="9013" max="9013" width="12" style="2"/>
    <col min="9014" max="9014" width="14.42578125" style="2" bestFit="1" customWidth="1"/>
    <col min="9015" max="9015" width="10.42578125" style="2" customWidth="1"/>
    <col min="9016" max="9016" width="12.28515625" style="2" customWidth="1"/>
    <col min="9017" max="9017" width="12" style="2"/>
    <col min="9018" max="9018" width="9.42578125" style="2" customWidth="1"/>
    <col min="9019" max="9020" width="12" style="2"/>
    <col min="9021" max="9022" width="14.42578125" style="2" customWidth="1"/>
    <col min="9023" max="9023" width="14.28515625" style="2" customWidth="1"/>
    <col min="9024" max="9024" width="12.7109375" style="2" customWidth="1"/>
    <col min="9025" max="9029" width="12" style="2"/>
    <col min="9030" max="9030" width="14.28515625" style="2" bestFit="1" customWidth="1"/>
    <col min="9031" max="9216" width="12" style="2"/>
    <col min="9217" max="9217" width="8" style="2" bestFit="1" customWidth="1"/>
    <col min="9218" max="9220" width="6" style="2" customWidth="1"/>
    <col min="9221" max="9221" width="7.140625" style="2" bestFit="1" customWidth="1"/>
    <col min="9222" max="9223" width="7.140625" style="2" customWidth="1"/>
    <col min="9224" max="9226" width="8.28515625" style="2" customWidth="1"/>
    <col min="9227" max="9227" width="7.140625" style="2" bestFit="1" customWidth="1"/>
    <col min="9228" max="9228" width="6" style="2" customWidth="1"/>
    <col min="9229" max="9229" width="9.42578125" style="2" customWidth="1"/>
    <col min="9230" max="9230" width="8.140625" style="2" bestFit="1" customWidth="1"/>
    <col min="9231" max="9231" width="8.85546875" style="2" bestFit="1" customWidth="1"/>
    <col min="9232" max="9232" width="9.140625" style="2" bestFit="1" customWidth="1"/>
    <col min="9233" max="9233" width="45.140625" style="2" bestFit="1" customWidth="1"/>
    <col min="9234" max="9234" width="2.140625" style="2" customWidth="1"/>
    <col min="9235" max="9235" width="8" style="2" bestFit="1" customWidth="1"/>
    <col min="9236" max="9236" width="6.85546875" style="2" customWidth="1"/>
    <col min="9237" max="9238" width="7.42578125" style="2" customWidth="1"/>
    <col min="9239" max="9240" width="8" style="2" customWidth="1"/>
    <col min="9241" max="9241" width="7.42578125" style="2" customWidth="1"/>
    <col min="9242" max="9242" width="7.5703125" style="2" customWidth="1"/>
    <col min="9243" max="9244" width="7.42578125" style="2" customWidth="1"/>
    <col min="9245" max="9245" width="11.140625" style="2" bestFit="1" customWidth="1"/>
    <col min="9246" max="9246" width="7.7109375" style="2" customWidth="1"/>
    <col min="9247" max="9247" width="8" style="2" customWidth="1"/>
    <col min="9248" max="9249" width="7.85546875" style="2" customWidth="1"/>
    <col min="9250" max="9251" width="7.28515625" style="2" customWidth="1"/>
    <col min="9252" max="9252" width="8" style="2" customWidth="1"/>
    <col min="9253" max="9253" width="7.85546875" style="2" customWidth="1"/>
    <col min="9254" max="9254" width="6.7109375" style="2" bestFit="1" customWidth="1"/>
    <col min="9255" max="9255" width="9.28515625" style="2" bestFit="1" customWidth="1"/>
    <col min="9256" max="9256" width="10.7109375" style="2" customWidth="1"/>
    <col min="9257" max="9257" width="9.7109375" style="2" bestFit="1" customWidth="1"/>
    <col min="9258" max="9258" width="11.85546875" style="2" bestFit="1" customWidth="1"/>
    <col min="9259" max="9259" width="10.7109375" style="2" bestFit="1" customWidth="1"/>
    <col min="9260" max="9260" width="7.28515625" style="2" bestFit="1" customWidth="1"/>
    <col min="9261" max="9261" width="9.7109375" style="2" bestFit="1" customWidth="1"/>
    <col min="9262" max="9262" width="9.140625" style="2" bestFit="1" customWidth="1"/>
    <col min="9263" max="9263" width="8.5703125" style="2" bestFit="1" customWidth="1"/>
    <col min="9264" max="9264" width="101.140625" style="2" customWidth="1"/>
    <col min="9265" max="9265" width="8.85546875" style="2" bestFit="1" customWidth="1"/>
    <col min="9266" max="9266" width="9.85546875" style="2" customWidth="1"/>
    <col min="9267" max="9267" width="4.42578125" style="2" customWidth="1"/>
    <col min="9268" max="9268" width="11.5703125" style="2" customWidth="1"/>
    <col min="9269" max="9269" width="12" style="2"/>
    <col min="9270" max="9270" width="14.42578125" style="2" bestFit="1" customWidth="1"/>
    <col min="9271" max="9271" width="10.42578125" style="2" customWidth="1"/>
    <col min="9272" max="9272" width="12.28515625" style="2" customWidth="1"/>
    <col min="9273" max="9273" width="12" style="2"/>
    <col min="9274" max="9274" width="9.42578125" style="2" customWidth="1"/>
    <col min="9275" max="9276" width="12" style="2"/>
    <col min="9277" max="9278" width="14.42578125" style="2" customWidth="1"/>
    <col min="9279" max="9279" width="14.28515625" style="2" customWidth="1"/>
    <col min="9280" max="9280" width="12.7109375" style="2" customWidth="1"/>
    <col min="9281" max="9285" width="12" style="2"/>
    <col min="9286" max="9286" width="14.28515625" style="2" bestFit="1" customWidth="1"/>
    <col min="9287" max="9472" width="12" style="2"/>
    <col min="9473" max="9473" width="8" style="2" bestFit="1" customWidth="1"/>
    <col min="9474" max="9476" width="6" style="2" customWidth="1"/>
    <col min="9477" max="9477" width="7.140625" style="2" bestFit="1" customWidth="1"/>
    <col min="9478" max="9479" width="7.140625" style="2" customWidth="1"/>
    <col min="9480" max="9482" width="8.28515625" style="2" customWidth="1"/>
    <col min="9483" max="9483" width="7.140625" style="2" bestFit="1" customWidth="1"/>
    <col min="9484" max="9484" width="6" style="2" customWidth="1"/>
    <col min="9485" max="9485" width="9.42578125" style="2" customWidth="1"/>
    <col min="9486" max="9486" width="8.140625" style="2" bestFit="1" customWidth="1"/>
    <col min="9487" max="9487" width="8.85546875" style="2" bestFit="1" customWidth="1"/>
    <col min="9488" max="9488" width="9.140625" style="2" bestFit="1" customWidth="1"/>
    <col min="9489" max="9489" width="45.140625" style="2" bestFit="1" customWidth="1"/>
    <col min="9490" max="9490" width="2.140625" style="2" customWidth="1"/>
    <col min="9491" max="9491" width="8" style="2" bestFit="1" customWidth="1"/>
    <col min="9492" max="9492" width="6.85546875" style="2" customWidth="1"/>
    <col min="9493" max="9494" width="7.42578125" style="2" customWidth="1"/>
    <col min="9495" max="9496" width="8" style="2" customWidth="1"/>
    <col min="9497" max="9497" width="7.42578125" style="2" customWidth="1"/>
    <col min="9498" max="9498" width="7.5703125" style="2" customWidth="1"/>
    <col min="9499" max="9500" width="7.42578125" style="2" customWidth="1"/>
    <col min="9501" max="9501" width="11.140625" style="2" bestFit="1" customWidth="1"/>
    <col min="9502" max="9502" width="7.7109375" style="2" customWidth="1"/>
    <col min="9503" max="9503" width="8" style="2" customWidth="1"/>
    <col min="9504" max="9505" width="7.85546875" style="2" customWidth="1"/>
    <col min="9506" max="9507" width="7.28515625" style="2" customWidth="1"/>
    <col min="9508" max="9508" width="8" style="2" customWidth="1"/>
    <col min="9509" max="9509" width="7.85546875" style="2" customWidth="1"/>
    <col min="9510" max="9510" width="6.7109375" style="2" bestFit="1" customWidth="1"/>
    <col min="9511" max="9511" width="9.28515625" style="2" bestFit="1" customWidth="1"/>
    <col min="9512" max="9512" width="10.7109375" style="2" customWidth="1"/>
    <col min="9513" max="9513" width="9.7109375" style="2" bestFit="1" customWidth="1"/>
    <col min="9514" max="9514" width="11.85546875" style="2" bestFit="1" customWidth="1"/>
    <col min="9515" max="9515" width="10.7109375" style="2" bestFit="1" customWidth="1"/>
    <col min="9516" max="9516" width="7.28515625" style="2" bestFit="1" customWidth="1"/>
    <col min="9517" max="9517" width="9.7109375" style="2" bestFit="1" customWidth="1"/>
    <col min="9518" max="9518" width="9.140625" style="2" bestFit="1" customWidth="1"/>
    <col min="9519" max="9519" width="8.5703125" style="2" bestFit="1" customWidth="1"/>
    <col min="9520" max="9520" width="101.140625" style="2" customWidth="1"/>
    <col min="9521" max="9521" width="8.85546875" style="2" bestFit="1" customWidth="1"/>
    <col min="9522" max="9522" width="9.85546875" style="2" customWidth="1"/>
    <col min="9523" max="9523" width="4.42578125" style="2" customWidth="1"/>
    <col min="9524" max="9524" width="11.5703125" style="2" customWidth="1"/>
    <col min="9525" max="9525" width="12" style="2"/>
    <col min="9526" max="9526" width="14.42578125" style="2" bestFit="1" customWidth="1"/>
    <col min="9527" max="9527" width="10.42578125" style="2" customWidth="1"/>
    <col min="9528" max="9528" width="12.28515625" style="2" customWidth="1"/>
    <col min="9529" max="9529" width="12" style="2"/>
    <col min="9530" max="9530" width="9.42578125" style="2" customWidth="1"/>
    <col min="9531" max="9532" width="12" style="2"/>
    <col min="9533" max="9534" width="14.42578125" style="2" customWidth="1"/>
    <col min="9535" max="9535" width="14.28515625" style="2" customWidth="1"/>
    <col min="9536" max="9536" width="12.7109375" style="2" customWidth="1"/>
    <col min="9537" max="9541" width="12" style="2"/>
    <col min="9542" max="9542" width="14.28515625" style="2" bestFit="1" customWidth="1"/>
    <col min="9543" max="9728" width="12" style="2"/>
    <col min="9729" max="9729" width="8" style="2" bestFit="1" customWidth="1"/>
    <col min="9730" max="9732" width="6" style="2" customWidth="1"/>
    <col min="9733" max="9733" width="7.140625" style="2" bestFit="1" customWidth="1"/>
    <col min="9734" max="9735" width="7.140625" style="2" customWidth="1"/>
    <col min="9736" max="9738" width="8.28515625" style="2" customWidth="1"/>
    <col min="9739" max="9739" width="7.140625" style="2" bestFit="1" customWidth="1"/>
    <col min="9740" max="9740" width="6" style="2" customWidth="1"/>
    <col min="9741" max="9741" width="9.42578125" style="2" customWidth="1"/>
    <col min="9742" max="9742" width="8.140625" style="2" bestFit="1" customWidth="1"/>
    <col min="9743" max="9743" width="8.85546875" style="2" bestFit="1" customWidth="1"/>
    <col min="9744" max="9744" width="9.140625" style="2" bestFit="1" customWidth="1"/>
    <col min="9745" max="9745" width="45.140625" style="2" bestFit="1" customWidth="1"/>
    <col min="9746" max="9746" width="2.140625" style="2" customWidth="1"/>
    <col min="9747" max="9747" width="8" style="2" bestFit="1" customWidth="1"/>
    <col min="9748" max="9748" width="6.85546875" style="2" customWidth="1"/>
    <col min="9749" max="9750" width="7.42578125" style="2" customWidth="1"/>
    <col min="9751" max="9752" width="8" style="2" customWidth="1"/>
    <col min="9753" max="9753" width="7.42578125" style="2" customWidth="1"/>
    <col min="9754" max="9754" width="7.5703125" style="2" customWidth="1"/>
    <col min="9755" max="9756" width="7.42578125" style="2" customWidth="1"/>
    <col min="9757" max="9757" width="11.140625" style="2" bestFit="1" customWidth="1"/>
    <col min="9758" max="9758" width="7.7109375" style="2" customWidth="1"/>
    <col min="9759" max="9759" width="8" style="2" customWidth="1"/>
    <col min="9760" max="9761" width="7.85546875" style="2" customWidth="1"/>
    <col min="9762" max="9763" width="7.28515625" style="2" customWidth="1"/>
    <col min="9764" max="9764" width="8" style="2" customWidth="1"/>
    <col min="9765" max="9765" width="7.85546875" style="2" customWidth="1"/>
    <col min="9766" max="9766" width="6.7109375" style="2" bestFit="1" customWidth="1"/>
    <col min="9767" max="9767" width="9.28515625" style="2" bestFit="1" customWidth="1"/>
    <col min="9768" max="9768" width="10.7109375" style="2" customWidth="1"/>
    <col min="9769" max="9769" width="9.7109375" style="2" bestFit="1" customWidth="1"/>
    <col min="9770" max="9770" width="11.85546875" style="2" bestFit="1" customWidth="1"/>
    <col min="9771" max="9771" width="10.7109375" style="2" bestFit="1" customWidth="1"/>
    <col min="9772" max="9772" width="7.28515625" style="2" bestFit="1" customWidth="1"/>
    <col min="9773" max="9773" width="9.7109375" style="2" bestFit="1" customWidth="1"/>
    <col min="9774" max="9774" width="9.140625" style="2" bestFit="1" customWidth="1"/>
    <col min="9775" max="9775" width="8.5703125" style="2" bestFit="1" customWidth="1"/>
    <col min="9776" max="9776" width="101.140625" style="2" customWidth="1"/>
    <col min="9777" max="9777" width="8.85546875" style="2" bestFit="1" customWidth="1"/>
    <col min="9778" max="9778" width="9.85546875" style="2" customWidth="1"/>
    <col min="9779" max="9779" width="4.42578125" style="2" customWidth="1"/>
    <col min="9780" max="9780" width="11.5703125" style="2" customWidth="1"/>
    <col min="9781" max="9781" width="12" style="2"/>
    <col min="9782" max="9782" width="14.42578125" style="2" bestFit="1" customWidth="1"/>
    <col min="9783" max="9783" width="10.42578125" style="2" customWidth="1"/>
    <col min="9784" max="9784" width="12.28515625" style="2" customWidth="1"/>
    <col min="9785" max="9785" width="12" style="2"/>
    <col min="9786" max="9786" width="9.42578125" style="2" customWidth="1"/>
    <col min="9787" max="9788" width="12" style="2"/>
    <col min="9789" max="9790" width="14.42578125" style="2" customWidth="1"/>
    <col min="9791" max="9791" width="14.28515625" style="2" customWidth="1"/>
    <col min="9792" max="9792" width="12.7109375" style="2" customWidth="1"/>
    <col min="9793" max="9797" width="12" style="2"/>
    <col min="9798" max="9798" width="14.28515625" style="2" bestFit="1" customWidth="1"/>
    <col min="9799" max="9984" width="12" style="2"/>
    <col min="9985" max="9985" width="8" style="2" bestFit="1" customWidth="1"/>
    <col min="9986" max="9988" width="6" style="2" customWidth="1"/>
    <col min="9989" max="9989" width="7.140625" style="2" bestFit="1" customWidth="1"/>
    <col min="9990" max="9991" width="7.140625" style="2" customWidth="1"/>
    <col min="9992" max="9994" width="8.28515625" style="2" customWidth="1"/>
    <col min="9995" max="9995" width="7.140625" style="2" bestFit="1" customWidth="1"/>
    <col min="9996" max="9996" width="6" style="2" customWidth="1"/>
    <col min="9997" max="9997" width="9.42578125" style="2" customWidth="1"/>
    <col min="9998" max="9998" width="8.140625" style="2" bestFit="1" customWidth="1"/>
    <col min="9999" max="9999" width="8.85546875" style="2" bestFit="1" customWidth="1"/>
    <col min="10000" max="10000" width="9.140625" style="2" bestFit="1" customWidth="1"/>
    <col min="10001" max="10001" width="45.140625" style="2" bestFit="1" customWidth="1"/>
    <col min="10002" max="10002" width="2.140625" style="2" customWidth="1"/>
    <col min="10003" max="10003" width="8" style="2" bestFit="1" customWidth="1"/>
    <col min="10004" max="10004" width="6.85546875" style="2" customWidth="1"/>
    <col min="10005" max="10006" width="7.42578125" style="2" customWidth="1"/>
    <col min="10007" max="10008" width="8" style="2" customWidth="1"/>
    <col min="10009" max="10009" width="7.42578125" style="2" customWidth="1"/>
    <col min="10010" max="10010" width="7.5703125" style="2" customWidth="1"/>
    <col min="10011" max="10012" width="7.42578125" style="2" customWidth="1"/>
    <col min="10013" max="10013" width="11.140625" style="2" bestFit="1" customWidth="1"/>
    <col min="10014" max="10014" width="7.7109375" style="2" customWidth="1"/>
    <col min="10015" max="10015" width="8" style="2" customWidth="1"/>
    <col min="10016" max="10017" width="7.85546875" style="2" customWidth="1"/>
    <col min="10018" max="10019" width="7.28515625" style="2" customWidth="1"/>
    <col min="10020" max="10020" width="8" style="2" customWidth="1"/>
    <col min="10021" max="10021" width="7.85546875" style="2" customWidth="1"/>
    <col min="10022" max="10022" width="6.7109375" style="2" bestFit="1" customWidth="1"/>
    <col min="10023" max="10023" width="9.28515625" style="2" bestFit="1" customWidth="1"/>
    <col min="10024" max="10024" width="10.7109375" style="2" customWidth="1"/>
    <col min="10025" max="10025" width="9.7109375" style="2" bestFit="1" customWidth="1"/>
    <col min="10026" max="10026" width="11.85546875" style="2" bestFit="1" customWidth="1"/>
    <col min="10027" max="10027" width="10.7109375" style="2" bestFit="1" customWidth="1"/>
    <col min="10028" max="10028" width="7.28515625" style="2" bestFit="1" customWidth="1"/>
    <col min="10029" max="10029" width="9.7109375" style="2" bestFit="1" customWidth="1"/>
    <col min="10030" max="10030" width="9.140625" style="2" bestFit="1" customWidth="1"/>
    <col min="10031" max="10031" width="8.5703125" style="2" bestFit="1" customWidth="1"/>
    <col min="10032" max="10032" width="101.140625" style="2" customWidth="1"/>
    <col min="10033" max="10033" width="8.85546875" style="2" bestFit="1" customWidth="1"/>
    <col min="10034" max="10034" width="9.85546875" style="2" customWidth="1"/>
    <col min="10035" max="10035" width="4.42578125" style="2" customWidth="1"/>
    <col min="10036" max="10036" width="11.5703125" style="2" customWidth="1"/>
    <col min="10037" max="10037" width="12" style="2"/>
    <col min="10038" max="10038" width="14.42578125" style="2" bestFit="1" customWidth="1"/>
    <col min="10039" max="10039" width="10.42578125" style="2" customWidth="1"/>
    <col min="10040" max="10040" width="12.28515625" style="2" customWidth="1"/>
    <col min="10041" max="10041" width="12" style="2"/>
    <col min="10042" max="10042" width="9.42578125" style="2" customWidth="1"/>
    <col min="10043" max="10044" width="12" style="2"/>
    <col min="10045" max="10046" width="14.42578125" style="2" customWidth="1"/>
    <col min="10047" max="10047" width="14.28515625" style="2" customWidth="1"/>
    <col min="10048" max="10048" width="12.7109375" style="2" customWidth="1"/>
    <col min="10049" max="10053" width="12" style="2"/>
    <col min="10054" max="10054" width="14.28515625" style="2" bestFit="1" customWidth="1"/>
    <col min="10055" max="10240" width="12" style="2"/>
    <col min="10241" max="10241" width="8" style="2" bestFit="1" customWidth="1"/>
    <col min="10242" max="10244" width="6" style="2" customWidth="1"/>
    <col min="10245" max="10245" width="7.140625" style="2" bestFit="1" customWidth="1"/>
    <col min="10246" max="10247" width="7.140625" style="2" customWidth="1"/>
    <col min="10248" max="10250" width="8.28515625" style="2" customWidth="1"/>
    <col min="10251" max="10251" width="7.140625" style="2" bestFit="1" customWidth="1"/>
    <col min="10252" max="10252" width="6" style="2" customWidth="1"/>
    <col min="10253" max="10253" width="9.42578125" style="2" customWidth="1"/>
    <col min="10254" max="10254" width="8.140625" style="2" bestFit="1" customWidth="1"/>
    <col min="10255" max="10255" width="8.85546875" style="2" bestFit="1" customWidth="1"/>
    <col min="10256" max="10256" width="9.140625" style="2" bestFit="1" customWidth="1"/>
    <col min="10257" max="10257" width="45.140625" style="2" bestFit="1" customWidth="1"/>
    <col min="10258" max="10258" width="2.140625" style="2" customWidth="1"/>
    <col min="10259" max="10259" width="8" style="2" bestFit="1" customWidth="1"/>
    <col min="10260" max="10260" width="6.85546875" style="2" customWidth="1"/>
    <col min="10261" max="10262" width="7.42578125" style="2" customWidth="1"/>
    <col min="10263" max="10264" width="8" style="2" customWidth="1"/>
    <col min="10265" max="10265" width="7.42578125" style="2" customWidth="1"/>
    <col min="10266" max="10266" width="7.5703125" style="2" customWidth="1"/>
    <col min="10267" max="10268" width="7.42578125" style="2" customWidth="1"/>
    <col min="10269" max="10269" width="11.140625" style="2" bestFit="1" customWidth="1"/>
    <col min="10270" max="10270" width="7.7109375" style="2" customWidth="1"/>
    <col min="10271" max="10271" width="8" style="2" customWidth="1"/>
    <col min="10272" max="10273" width="7.85546875" style="2" customWidth="1"/>
    <col min="10274" max="10275" width="7.28515625" style="2" customWidth="1"/>
    <col min="10276" max="10276" width="8" style="2" customWidth="1"/>
    <col min="10277" max="10277" width="7.85546875" style="2" customWidth="1"/>
    <col min="10278" max="10278" width="6.7109375" style="2" bestFit="1" customWidth="1"/>
    <col min="10279" max="10279" width="9.28515625" style="2" bestFit="1" customWidth="1"/>
    <col min="10280" max="10280" width="10.7109375" style="2" customWidth="1"/>
    <col min="10281" max="10281" width="9.7109375" style="2" bestFit="1" customWidth="1"/>
    <col min="10282" max="10282" width="11.85546875" style="2" bestFit="1" customWidth="1"/>
    <col min="10283" max="10283" width="10.7109375" style="2" bestFit="1" customWidth="1"/>
    <col min="10284" max="10284" width="7.28515625" style="2" bestFit="1" customWidth="1"/>
    <col min="10285" max="10285" width="9.7109375" style="2" bestFit="1" customWidth="1"/>
    <col min="10286" max="10286" width="9.140625" style="2" bestFit="1" customWidth="1"/>
    <col min="10287" max="10287" width="8.5703125" style="2" bestFit="1" customWidth="1"/>
    <col min="10288" max="10288" width="101.140625" style="2" customWidth="1"/>
    <col min="10289" max="10289" width="8.85546875" style="2" bestFit="1" customWidth="1"/>
    <col min="10290" max="10290" width="9.85546875" style="2" customWidth="1"/>
    <col min="10291" max="10291" width="4.42578125" style="2" customWidth="1"/>
    <col min="10292" max="10292" width="11.5703125" style="2" customWidth="1"/>
    <col min="10293" max="10293" width="12" style="2"/>
    <col min="10294" max="10294" width="14.42578125" style="2" bestFit="1" customWidth="1"/>
    <col min="10295" max="10295" width="10.42578125" style="2" customWidth="1"/>
    <col min="10296" max="10296" width="12.28515625" style="2" customWidth="1"/>
    <col min="10297" max="10297" width="12" style="2"/>
    <col min="10298" max="10298" width="9.42578125" style="2" customWidth="1"/>
    <col min="10299" max="10300" width="12" style="2"/>
    <col min="10301" max="10302" width="14.42578125" style="2" customWidth="1"/>
    <col min="10303" max="10303" width="14.28515625" style="2" customWidth="1"/>
    <col min="10304" max="10304" width="12.7109375" style="2" customWidth="1"/>
    <col min="10305" max="10309" width="12" style="2"/>
    <col min="10310" max="10310" width="14.28515625" style="2" bestFit="1" customWidth="1"/>
    <col min="10311" max="10496" width="12" style="2"/>
    <col min="10497" max="10497" width="8" style="2" bestFit="1" customWidth="1"/>
    <col min="10498" max="10500" width="6" style="2" customWidth="1"/>
    <col min="10501" max="10501" width="7.140625" style="2" bestFit="1" customWidth="1"/>
    <col min="10502" max="10503" width="7.140625" style="2" customWidth="1"/>
    <col min="10504" max="10506" width="8.28515625" style="2" customWidth="1"/>
    <col min="10507" max="10507" width="7.140625" style="2" bestFit="1" customWidth="1"/>
    <col min="10508" max="10508" width="6" style="2" customWidth="1"/>
    <col min="10509" max="10509" width="9.42578125" style="2" customWidth="1"/>
    <col min="10510" max="10510" width="8.140625" style="2" bestFit="1" customWidth="1"/>
    <col min="10511" max="10511" width="8.85546875" style="2" bestFit="1" customWidth="1"/>
    <col min="10512" max="10512" width="9.140625" style="2" bestFit="1" customWidth="1"/>
    <col min="10513" max="10513" width="45.140625" style="2" bestFit="1" customWidth="1"/>
    <col min="10514" max="10514" width="2.140625" style="2" customWidth="1"/>
    <col min="10515" max="10515" width="8" style="2" bestFit="1" customWidth="1"/>
    <col min="10516" max="10516" width="6.85546875" style="2" customWidth="1"/>
    <col min="10517" max="10518" width="7.42578125" style="2" customWidth="1"/>
    <col min="10519" max="10520" width="8" style="2" customWidth="1"/>
    <col min="10521" max="10521" width="7.42578125" style="2" customWidth="1"/>
    <col min="10522" max="10522" width="7.5703125" style="2" customWidth="1"/>
    <col min="10523" max="10524" width="7.42578125" style="2" customWidth="1"/>
    <col min="10525" max="10525" width="11.140625" style="2" bestFit="1" customWidth="1"/>
    <col min="10526" max="10526" width="7.7109375" style="2" customWidth="1"/>
    <col min="10527" max="10527" width="8" style="2" customWidth="1"/>
    <col min="10528" max="10529" width="7.85546875" style="2" customWidth="1"/>
    <col min="10530" max="10531" width="7.28515625" style="2" customWidth="1"/>
    <col min="10532" max="10532" width="8" style="2" customWidth="1"/>
    <col min="10533" max="10533" width="7.85546875" style="2" customWidth="1"/>
    <col min="10534" max="10534" width="6.7109375" style="2" bestFit="1" customWidth="1"/>
    <col min="10535" max="10535" width="9.28515625" style="2" bestFit="1" customWidth="1"/>
    <col min="10536" max="10536" width="10.7109375" style="2" customWidth="1"/>
    <col min="10537" max="10537" width="9.7109375" style="2" bestFit="1" customWidth="1"/>
    <col min="10538" max="10538" width="11.85546875" style="2" bestFit="1" customWidth="1"/>
    <col min="10539" max="10539" width="10.7109375" style="2" bestFit="1" customWidth="1"/>
    <col min="10540" max="10540" width="7.28515625" style="2" bestFit="1" customWidth="1"/>
    <col min="10541" max="10541" width="9.7109375" style="2" bestFit="1" customWidth="1"/>
    <col min="10542" max="10542" width="9.140625" style="2" bestFit="1" customWidth="1"/>
    <col min="10543" max="10543" width="8.5703125" style="2" bestFit="1" customWidth="1"/>
    <col min="10544" max="10544" width="101.140625" style="2" customWidth="1"/>
    <col min="10545" max="10545" width="8.85546875" style="2" bestFit="1" customWidth="1"/>
    <col min="10546" max="10546" width="9.85546875" style="2" customWidth="1"/>
    <col min="10547" max="10547" width="4.42578125" style="2" customWidth="1"/>
    <col min="10548" max="10548" width="11.5703125" style="2" customWidth="1"/>
    <col min="10549" max="10549" width="12" style="2"/>
    <col min="10550" max="10550" width="14.42578125" style="2" bestFit="1" customWidth="1"/>
    <col min="10551" max="10551" width="10.42578125" style="2" customWidth="1"/>
    <col min="10552" max="10552" width="12.28515625" style="2" customWidth="1"/>
    <col min="10553" max="10553" width="12" style="2"/>
    <col min="10554" max="10554" width="9.42578125" style="2" customWidth="1"/>
    <col min="10555" max="10556" width="12" style="2"/>
    <col min="10557" max="10558" width="14.42578125" style="2" customWidth="1"/>
    <col min="10559" max="10559" width="14.28515625" style="2" customWidth="1"/>
    <col min="10560" max="10560" width="12.7109375" style="2" customWidth="1"/>
    <col min="10561" max="10565" width="12" style="2"/>
    <col min="10566" max="10566" width="14.28515625" style="2" bestFit="1" customWidth="1"/>
    <col min="10567" max="10752" width="12" style="2"/>
    <col min="10753" max="10753" width="8" style="2" bestFit="1" customWidth="1"/>
    <col min="10754" max="10756" width="6" style="2" customWidth="1"/>
    <col min="10757" max="10757" width="7.140625" style="2" bestFit="1" customWidth="1"/>
    <col min="10758" max="10759" width="7.140625" style="2" customWidth="1"/>
    <col min="10760" max="10762" width="8.28515625" style="2" customWidth="1"/>
    <col min="10763" max="10763" width="7.140625" style="2" bestFit="1" customWidth="1"/>
    <col min="10764" max="10764" width="6" style="2" customWidth="1"/>
    <col min="10765" max="10765" width="9.42578125" style="2" customWidth="1"/>
    <col min="10766" max="10766" width="8.140625" style="2" bestFit="1" customWidth="1"/>
    <col min="10767" max="10767" width="8.85546875" style="2" bestFit="1" customWidth="1"/>
    <col min="10768" max="10768" width="9.140625" style="2" bestFit="1" customWidth="1"/>
    <col min="10769" max="10769" width="45.140625" style="2" bestFit="1" customWidth="1"/>
    <col min="10770" max="10770" width="2.140625" style="2" customWidth="1"/>
    <col min="10771" max="10771" width="8" style="2" bestFit="1" customWidth="1"/>
    <col min="10772" max="10772" width="6.85546875" style="2" customWidth="1"/>
    <col min="10773" max="10774" width="7.42578125" style="2" customWidth="1"/>
    <col min="10775" max="10776" width="8" style="2" customWidth="1"/>
    <col min="10777" max="10777" width="7.42578125" style="2" customWidth="1"/>
    <col min="10778" max="10778" width="7.5703125" style="2" customWidth="1"/>
    <col min="10779" max="10780" width="7.42578125" style="2" customWidth="1"/>
    <col min="10781" max="10781" width="11.140625" style="2" bestFit="1" customWidth="1"/>
    <col min="10782" max="10782" width="7.7109375" style="2" customWidth="1"/>
    <col min="10783" max="10783" width="8" style="2" customWidth="1"/>
    <col min="10784" max="10785" width="7.85546875" style="2" customWidth="1"/>
    <col min="10786" max="10787" width="7.28515625" style="2" customWidth="1"/>
    <col min="10788" max="10788" width="8" style="2" customWidth="1"/>
    <col min="10789" max="10789" width="7.85546875" style="2" customWidth="1"/>
    <col min="10790" max="10790" width="6.7109375" style="2" bestFit="1" customWidth="1"/>
    <col min="10791" max="10791" width="9.28515625" style="2" bestFit="1" customWidth="1"/>
    <col min="10792" max="10792" width="10.7109375" style="2" customWidth="1"/>
    <col min="10793" max="10793" width="9.7109375" style="2" bestFit="1" customWidth="1"/>
    <col min="10794" max="10794" width="11.85546875" style="2" bestFit="1" customWidth="1"/>
    <col min="10795" max="10795" width="10.7109375" style="2" bestFit="1" customWidth="1"/>
    <col min="10796" max="10796" width="7.28515625" style="2" bestFit="1" customWidth="1"/>
    <col min="10797" max="10797" width="9.7109375" style="2" bestFit="1" customWidth="1"/>
    <col min="10798" max="10798" width="9.140625" style="2" bestFit="1" customWidth="1"/>
    <col min="10799" max="10799" width="8.5703125" style="2" bestFit="1" customWidth="1"/>
    <col min="10800" max="10800" width="101.140625" style="2" customWidth="1"/>
    <col min="10801" max="10801" width="8.85546875" style="2" bestFit="1" customWidth="1"/>
    <col min="10802" max="10802" width="9.85546875" style="2" customWidth="1"/>
    <col min="10803" max="10803" width="4.42578125" style="2" customWidth="1"/>
    <col min="10804" max="10804" width="11.5703125" style="2" customWidth="1"/>
    <col min="10805" max="10805" width="12" style="2"/>
    <col min="10806" max="10806" width="14.42578125" style="2" bestFit="1" customWidth="1"/>
    <col min="10807" max="10807" width="10.42578125" style="2" customWidth="1"/>
    <col min="10808" max="10808" width="12.28515625" style="2" customWidth="1"/>
    <col min="10809" max="10809" width="12" style="2"/>
    <col min="10810" max="10810" width="9.42578125" style="2" customWidth="1"/>
    <col min="10811" max="10812" width="12" style="2"/>
    <col min="10813" max="10814" width="14.42578125" style="2" customWidth="1"/>
    <col min="10815" max="10815" width="14.28515625" style="2" customWidth="1"/>
    <col min="10816" max="10816" width="12.7109375" style="2" customWidth="1"/>
    <col min="10817" max="10821" width="12" style="2"/>
    <col min="10822" max="10822" width="14.28515625" style="2" bestFit="1" customWidth="1"/>
    <col min="10823" max="11008" width="12" style="2"/>
    <col min="11009" max="11009" width="8" style="2" bestFit="1" customWidth="1"/>
    <col min="11010" max="11012" width="6" style="2" customWidth="1"/>
    <col min="11013" max="11013" width="7.140625" style="2" bestFit="1" customWidth="1"/>
    <col min="11014" max="11015" width="7.140625" style="2" customWidth="1"/>
    <col min="11016" max="11018" width="8.28515625" style="2" customWidth="1"/>
    <col min="11019" max="11019" width="7.140625" style="2" bestFit="1" customWidth="1"/>
    <col min="11020" max="11020" width="6" style="2" customWidth="1"/>
    <col min="11021" max="11021" width="9.42578125" style="2" customWidth="1"/>
    <col min="11022" max="11022" width="8.140625" style="2" bestFit="1" customWidth="1"/>
    <col min="11023" max="11023" width="8.85546875" style="2" bestFit="1" customWidth="1"/>
    <col min="11024" max="11024" width="9.140625" style="2" bestFit="1" customWidth="1"/>
    <col min="11025" max="11025" width="45.140625" style="2" bestFit="1" customWidth="1"/>
    <col min="11026" max="11026" width="2.140625" style="2" customWidth="1"/>
    <col min="11027" max="11027" width="8" style="2" bestFit="1" customWidth="1"/>
    <col min="11028" max="11028" width="6.85546875" style="2" customWidth="1"/>
    <col min="11029" max="11030" width="7.42578125" style="2" customWidth="1"/>
    <col min="11031" max="11032" width="8" style="2" customWidth="1"/>
    <col min="11033" max="11033" width="7.42578125" style="2" customWidth="1"/>
    <col min="11034" max="11034" width="7.5703125" style="2" customWidth="1"/>
    <col min="11035" max="11036" width="7.42578125" style="2" customWidth="1"/>
    <col min="11037" max="11037" width="11.140625" style="2" bestFit="1" customWidth="1"/>
    <col min="11038" max="11038" width="7.7109375" style="2" customWidth="1"/>
    <col min="11039" max="11039" width="8" style="2" customWidth="1"/>
    <col min="11040" max="11041" width="7.85546875" style="2" customWidth="1"/>
    <col min="11042" max="11043" width="7.28515625" style="2" customWidth="1"/>
    <col min="11044" max="11044" width="8" style="2" customWidth="1"/>
    <col min="11045" max="11045" width="7.85546875" style="2" customWidth="1"/>
    <col min="11046" max="11046" width="6.7109375" style="2" bestFit="1" customWidth="1"/>
    <col min="11047" max="11047" width="9.28515625" style="2" bestFit="1" customWidth="1"/>
    <col min="11048" max="11048" width="10.7109375" style="2" customWidth="1"/>
    <col min="11049" max="11049" width="9.7109375" style="2" bestFit="1" customWidth="1"/>
    <col min="11050" max="11050" width="11.85546875" style="2" bestFit="1" customWidth="1"/>
    <col min="11051" max="11051" width="10.7109375" style="2" bestFit="1" customWidth="1"/>
    <col min="11052" max="11052" width="7.28515625" style="2" bestFit="1" customWidth="1"/>
    <col min="11053" max="11053" width="9.7109375" style="2" bestFit="1" customWidth="1"/>
    <col min="11054" max="11054" width="9.140625" style="2" bestFit="1" customWidth="1"/>
    <col min="11055" max="11055" width="8.5703125" style="2" bestFit="1" customWidth="1"/>
    <col min="11056" max="11056" width="101.140625" style="2" customWidth="1"/>
    <col min="11057" max="11057" width="8.85546875" style="2" bestFit="1" customWidth="1"/>
    <col min="11058" max="11058" width="9.85546875" style="2" customWidth="1"/>
    <col min="11059" max="11059" width="4.42578125" style="2" customWidth="1"/>
    <col min="11060" max="11060" width="11.5703125" style="2" customWidth="1"/>
    <col min="11061" max="11061" width="12" style="2"/>
    <col min="11062" max="11062" width="14.42578125" style="2" bestFit="1" customWidth="1"/>
    <col min="11063" max="11063" width="10.42578125" style="2" customWidth="1"/>
    <col min="11064" max="11064" width="12.28515625" style="2" customWidth="1"/>
    <col min="11065" max="11065" width="12" style="2"/>
    <col min="11066" max="11066" width="9.42578125" style="2" customWidth="1"/>
    <col min="11067" max="11068" width="12" style="2"/>
    <col min="11069" max="11070" width="14.42578125" style="2" customWidth="1"/>
    <col min="11071" max="11071" width="14.28515625" style="2" customWidth="1"/>
    <col min="11072" max="11072" width="12.7109375" style="2" customWidth="1"/>
    <col min="11073" max="11077" width="12" style="2"/>
    <col min="11078" max="11078" width="14.28515625" style="2" bestFit="1" customWidth="1"/>
    <col min="11079" max="11264" width="12" style="2"/>
    <col min="11265" max="11265" width="8" style="2" bestFit="1" customWidth="1"/>
    <col min="11266" max="11268" width="6" style="2" customWidth="1"/>
    <col min="11269" max="11269" width="7.140625" style="2" bestFit="1" customWidth="1"/>
    <col min="11270" max="11271" width="7.140625" style="2" customWidth="1"/>
    <col min="11272" max="11274" width="8.28515625" style="2" customWidth="1"/>
    <col min="11275" max="11275" width="7.140625" style="2" bestFit="1" customWidth="1"/>
    <col min="11276" max="11276" width="6" style="2" customWidth="1"/>
    <col min="11277" max="11277" width="9.42578125" style="2" customWidth="1"/>
    <col min="11278" max="11278" width="8.140625" style="2" bestFit="1" customWidth="1"/>
    <col min="11279" max="11279" width="8.85546875" style="2" bestFit="1" customWidth="1"/>
    <col min="11280" max="11280" width="9.140625" style="2" bestFit="1" customWidth="1"/>
    <col min="11281" max="11281" width="45.140625" style="2" bestFit="1" customWidth="1"/>
    <col min="11282" max="11282" width="2.140625" style="2" customWidth="1"/>
    <col min="11283" max="11283" width="8" style="2" bestFit="1" customWidth="1"/>
    <col min="11284" max="11284" width="6.85546875" style="2" customWidth="1"/>
    <col min="11285" max="11286" width="7.42578125" style="2" customWidth="1"/>
    <col min="11287" max="11288" width="8" style="2" customWidth="1"/>
    <col min="11289" max="11289" width="7.42578125" style="2" customWidth="1"/>
    <col min="11290" max="11290" width="7.5703125" style="2" customWidth="1"/>
    <col min="11291" max="11292" width="7.42578125" style="2" customWidth="1"/>
    <col min="11293" max="11293" width="11.140625" style="2" bestFit="1" customWidth="1"/>
    <col min="11294" max="11294" width="7.7109375" style="2" customWidth="1"/>
    <col min="11295" max="11295" width="8" style="2" customWidth="1"/>
    <col min="11296" max="11297" width="7.85546875" style="2" customWidth="1"/>
    <col min="11298" max="11299" width="7.28515625" style="2" customWidth="1"/>
    <col min="11300" max="11300" width="8" style="2" customWidth="1"/>
    <col min="11301" max="11301" width="7.85546875" style="2" customWidth="1"/>
    <col min="11302" max="11302" width="6.7109375" style="2" bestFit="1" customWidth="1"/>
    <col min="11303" max="11303" width="9.28515625" style="2" bestFit="1" customWidth="1"/>
    <col min="11304" max="11304" width="10.7109375" style="2" customWidth="1"/>
    <col min="11305" max="11305" width="9.7109375" style="2" bestFit="1" customWidth="1"/>
    <col min="11306" max="11306" width="11.85546875" style="2" bestFit="1" customWidth="1"/>
    <col min="11307" max="11307" width="10.7109375" style="2" bestFit="1" customWidth="1"/>
    <col min="11308" max="11308" width="7.28515625" style="2" bestFit="1" customWidth="1"/>
    <col min="11309" max="11309" width="9.7109375" style="2" bestFit="1" customWidth="1"/>
    <col min="11310" max="11310" width="9.140625" style="2" bestFit="1" customWidth="1"/>
    <col min="11311" max="11311" width="8.5703125" style="2" bestFit="1" customWidth="1"/>
    <col min="11312" max="11312" width="101.140625" style="2" customWidth="1"/>
    <col min="11313" max="11313" width="8.85546875" style="2" bestFit="1" customWidth="1"/>
    <col min="11314" max="11314" width="9.85546875" style="2" customWidth="1"/>
    <col min="11315" max="11315" width="4.42578125" style="2" customWidth="1"/>
    <col min="11316" max="11316" width="11.5703125" style="2" customWidth="1"/>
    <col min="11317" max="11317" width="12" style="2"/>
    <col min="11318" max="11318" width="14.42578125" style="2" bestFit="1" customWidth="1"/>
    <col min="11319" max="11319" width="10.42578125" style="2" customWidth="1"/>
    <col min="11320" max="11320" width="12.28515625" style="2" customWidth="1"/>
    <col min="11321" max="11321" width="12" style="2"/>
    <col min="11322" max="11322" width="9.42578125" style="2" customWidth="1"/>
    <col min="11323" max="11324" width="12" style="2"/>
    <col min="11325" max="11326" width="14.42578125" style="2" customWidth="1"/>
    <col min="11327" max="11327" width="14.28515625" style="2" customWidth="1"/>
    <col min="11328" max="11328" width="12.7109375" style="2" customWidth="1"/>
    <col min="11329" max="11333" width="12" style="2"/>
    <col min="11334" max="11334" width="14.28515625" style="2" bestFit="1" customWidth="1"/>
    <col min="11335" max="11520" width="12" style="2"/>
    <col min="11521" max="11521" width="8" style="2" bestFit="1" customWidth="1"/>
    <col min="11522" max="11524" width="6" style="2" customWidth="1"/>
    <col min="11525" max="11525" width="7.140625" style="2" bestFit="1" customWidth="1"/>
    <col min="11526" max="11527" width="7.140625" style="2" customWidth="1"/>
    <col min="11528" max="11530" width="8.28515625" style="2" customWidth="1"/>
    <col min="11531" max="11531" width="7.140625" style="2" bestFit="1" customWidth="1"/>
    <col min="11532" max="11532" width="6" style="2" customWidth="1"/>
    <col min="11533" max="11533" width="9.42578125" style="2" customWidth="1"/>
    <col min="11534" max="11534" width="8.140625" style="2" bestFit="1" customWidth="1"/>
    <col min="11535" max="11535" width="8.85546875" style="2" bestFit="1" customWidth="1"/>
    <col min="11536" max="11536" width="9.140625" style="2" bestFit="1" customWidth="1"/>
    <col min="11537" max="11537" width="45.140625" style="2" bestFit="1" customWidth="1"/>
    <col min="11538" max="11538" width="2.140625" style="2" customWidth="1"/>
    <col min="11539" max="11539" width="8" style="2" bestFit="1" customWidth="1"/>
    <col min="11540" max="11540" width="6.85546875" style="2" customWidth="1"/>
    <col min="11541" max="11542" width="7.42578125" style="2" customWidth="1"/>
    <col min="11543" max="11544" width="8" style="2" customWidth="1"/>
    <col min="11545" max="11545" width="7.42578125" style="2" customWidth="1"/>
    <col min="11546" max="11546" width="7.5703125" style="2" customWidth="1"/>
    <col min="11547" max="11548" width="7.42578125" style="2" customWidth="1"/>
    <col min="11549" max="11549" width="11.140625" style="2" bestFit="1" customWidth="1"/>
    <col min="11550" max="11550" width="7.7109375" style="2" customWidth="1"/>
    <col min="11551" max="11551" width="8" style="2" customWidth="1"/>
    <col min="11552" max="11553" width="7.85546875" style="2" customWidth="1"/>
    <col min="11554" max="11555" width="7.28515625" style="2" customWidth="1"/>
    <col min="11556" max="11556" width="8" style="2" customWidth="1"/>
    <col min="11557" max="11557" width="7.85546875" style="2" customWidth="1"/>
    <col min="11558" max="11558" width="6.7109375" style="2" bestFit="1" customWidth="1"/>
    <col min="11559" max="11559" width="9.28515625" style="2" bestFit="1" customWidth="1"/>
    <col min="11560" max="11560" width="10.7109375" style="2" customWidth="1"/>
    <col min="11561" max="11561" width="9.7109375" style="2" bestFit="1" customWidth="1"/>
    <col min="11562" max="11562" width="11.85546875" style="2" bestFit="1" customWidth="1"/>
    <col min="11563" max="11563" width="10.7109375" style="2" bestFit="1" customWidth="1"/>
    <col min="11564" max="11564" width="7.28515625" style="2" bestFit="1" customWidth="1"/>
    <col min="11565" max="11565" width="9.7109375" style="2" bestFit="1" customWidth="1"/>
    <col min="11566" max="11566" width="9.140625" style="2" bestFit="1" customWidth="1"/>
    <col min="11567" max="11567" width="8.5703125" style="2" bestFit="1" customWidth="1"/>
    <col min="11568" max="11568" width="101.140625" style="2" customWidth="1"/>
    <col min="11569" max="11569" width="8.85546875" style="2" bestFit="1" customWidth="1"/>
    <col min="11570" max="11570" width="9.85546875" style="2" customWidth="1"/>
    <col min="11571" max="11571" width="4.42578125" style="2" customWidth="1"/>
    <col min="11572" max="11572" width="11.5703125" style="2" customWidth="1"/>
    <col min="11573" max="11573" width="12" style="2"/>
    <col min="11574" max="11574" width="14.42578125" style="2" bestFit="1" customWidth="1"/>
    <col min="11575" max="11575" width="10.42578125" style="2" customWidth="1"/>
    <col min="11576" max="11576" width="12.28515625" style="2" customWidth="1"/>
    <col min="11577" max="11577" width="12" style="2"/>
    <col min="11578" max="11578" width="9.42578125" style="2" customWidth="1"/>
    <col min="11579" max="11580" width="12" style="2"/>
    <col min="11581" max="11582" width="14.42578125" style="2" customWidth="1"/>
    <col min="11583" max="11583" width="14.28515625" style="2" customWidth="1"/>
    <col min="11584" max="11584" width="12.7109375" style="2" customWidth="1"/>
    <col min="11585" max="11589" width="12" style="2"/>
    <col min="11590" max="11590" width="14.28515625" style="2" bestFit="1" customWidth="1"/>
    <col min="11591" max="11776" width="12" style="2"/>
    <col min="11777" max="11777" width="8" style="2" bestFit="1" customWidth="1"/>
    <col min="11778" max="11780" width="6" style="2" customWidth="1"/>
    <col min="11781" max="11781" width="7.140625" style="2" bestFit="1" customWidth="1"/>
    <col min="11782" max="11783" width="7.140625" style="2" customWidth="1"/>
    <col min="11784" max="11786" width="8.28515625" style="2" customWidth="1"/>
    <col min="11787" max="11787" width="7.140625" style="2" bestFit="1" customWidth="1"/>
    <col min="11788" max="11788" width="6" style="2" customWidth="1"/>
    <col min="11789" max="11789" width="9.42578125" style="2" customWidth="1"/>
    <col min="11790" max="11790" width="8.140625" style="2" bestFit="1" customWidth="1"/>
    <col min="11791" max="11791" width="8.85546875" style="2" bestFit="1" customWidth="1"/>
    <col min="11792" max="11792" width="9.140625" style="2" bestFit="1" customWidth="1"/>
    <col min="11793" max="11793" width="45.140625" style="2" bestFit="1" customWidth="1"/>
    <col min="11794" max="11794" width="2.140625" style="2" customWidth="1"/>
    <col min="11795" max="11795" width="8" style="2" bestFit="1" customWidth="1"/>
    <col min="11796" max="11796" width="6.85546875" style="2" customWidth="1"/>
    <col min="11797" max="11798" width="7.42578125" style="2" customWidth="1"/>
    <col min="11799" max="11800" width="8" style="2" customWidth="1"/>
    <col min="11801" max="11801" width="7.42578125" style="2" customWidth="1"/>
    <col min="11802" max="11802" width="7.5703125" style="2" customWidth="1"/>
    <col min="11803" max="11804" width="7.42578125" style="2" customWidth="1"/>
    <col min="11805" max="11805" width="11.140625" style="2" bestFit="1" customWidth="1"/>
    <col min="11806" max="11806" width="7.7109375" style="2" customWidth="1"/>
    <col min="11807" max="11807" width="8" style="2" customWidth="1"/>
    <col min="11808" max="11809" width="7.85546875" style="2" customWidth="1"/>
    <col min="11810" max="11811" width="7.28515625" style="2" customWidth="1"/>
    <col min="11812" max="11812" width="8" style="2" customWidth="1"/>
    <col min="11813" max="11813" width="7.85546875" style="2" customWidth="1"/>
    <col min="11814" max="11814" width="6.7109375" style="2" bestFit="1" customWidth="1"/>
    <col min="11815" max="11815" width="9.28515625" style="2" bestFit="1" customWidth="1"/>
    <col min="11816" max="11816" width="10.7109375" style="2" customWidth="1"/>
    <col min="11817" max="11817" width="9.7109375" style="2" bestFit="1" customWidth="1"/>
    <col min="11818" max="11818" width="11.85546875" style="2" bestFit="1" customWidth="1"/>
    <col min="11819" max="11819" width="10.7109375" style="2" bestFit="1" customWidth="1"/>
    <col min="11820" max="11820" width="7.28515625" style="2" bestFit="1" customWidth="1"/>
    <col min="11821" max="11821" width="9.7109375" style="2" bestFit="1" customWidth="1"/>
    <col min="11822" max="11822" width="9.140625" style="2" bestFit="1" customWidth="1"/>
    <col min="11823" max="11823" width="8.5703125" style="2" bestFit="1" customWidth="1"/>
    <col min="11824" max="11824" width="101.140625" style="2" customWidth="1"/>
    <col min="11825" max="11825" width="8.85546875" style="2" bestFit="1" customWidth="1"/>
    <col min="11826" max="11826" width="9.85546875" style="2" customWidth="1"/>
    <col min="11827" max="11827" width="4.42578125" style="2" customWidth="1"/>
    <col min="11828" max="11828" width="11.5703125" style="2" customWidth="1"/>
    <col min="11829" max="11829" width="12" style="2"/>
    <col min="11830" max="11830" width="14.42578125" style="2" bestFit="1" customWidth="1"/>
    <col min="11831" max="11831" width="10.42578125" style="2" customWidth="1"/>
    <col min="11832" max="11832" width="12.28515625" style="2" customWidth="1"/>
    <col min="11833" max="11833" width="12" style="2"/>
    <col min="11834" max="11834" width="9.42578125" style="2" customWidth="1"/>
    <col min="11835" max="11836" width="12" style="2"/>
    <col min="11837" max="11838" width="14.42578125" style="2" customWidth="1"/>
    <col min="11839" max="11839" width="14.28515625" style="2" customWidth="1"/>
    <col min="11840" max="11840" width="12.7109375" style="2" customWidth="1"/>
    <col min="11841" max="11845" width="12" style="2"/>
    <col min="11846" max="11846" width="14.28515625" style="2" bestFit="1" customWidth="1"/>
    <col min="11847" max="12032" width="12" style="2"/>
    <col min="12033" max="12033" width="8" style="2" bestFit="1" customWidth="1"/>
    <col min="12034" max="12036" width="6" style="2" customWidth="1"/>
    <col min="12037" max="12037" width="7.140625" style="2" bestFit="1" customWidth="1"/>
    <col min="12038" max="12039" width="7.140625" style="2" customWidth="1"/>
    <col min="12040" max="12042" width="8.28515625" style="2" customWidth="1"/>
    <col min="12043" max="12043" width="7.140625" style="2" bestFit="1" customWidth="1"/>
    <col min="12044" max="12044" width="6" style="2" customWidth="1"/>
    <col min="12045" max="12045" width="9.42578125" style="2" customWidth="1"/>
    <col min="12046" max="12046" width="8.140625" style="2" bestFit="1" customWidth="1"/>
    <col min="12047" max="12047" width="8.85546875" style="2" bestFit="1" customWidth="1"/>
    <col min="12048" max="12048" width="9.140625" style="2" bestFit="1" customWidth="1"/>
    <col min="12049" max="12049" width="45.140625" style="2" bestFit="1" customWidth="1"/>
    <col min="12050" max="12050" width="2.140625" style="2" customWidth="1"/>
    <col min="12051" max="12051" width="8" style="2" bestFit="1" customWidth="1"/>
    <col min="12052" max="12052" width="6.85546875" style="2" customWidth="1"/>
    <col min="12053" max="12054" width="7.42578125" style="2" customWidth="1"/>
    <col min="12055" max="12056" width="8" style="2" customWidth="1"/>
    <col min="12057" max="12057" width="7.42578125" style="2" customWidth="1"/>
    <col min="12058" max="12058" width="7.5703125" style="2" customWidth="1"/>
    <col min="12059" max="12060" width="7.42578125" style="2" customWidth="1"/>
    <col min="12061" max="12061" width="11.140625" style="2" bestFit="1" customWidth="1"/>
    <col min="12062" max="12062" width="7.7109375" style="2" customWidth="1"/>
    <col min="12063" max="12063" width="8" style="2" customWidth="1"/>
    <col min="12064" max="12065" width="7.85546875" style="2" customWidth="1"/>
    <col min="12066" max="12067" width="7.28515625" style="2" customWidth="1"/>
    <col min="12068" max="12068" width="8" style="2" customWidth="1"/>
    <col min="12069" max="12069" width="7.85546875" style="2" customWidth="1"/>
    <col min="12070" max="12070" width="6.7109375" style="2" bestFit="1" customWidth="1"/>
    <col min="12071" max="12071" width="9.28515625" style="2" bestFit="1" customWidth="1"/>
    <col min="12072" max="12072" width="10.7109375" style="2" customWidth="1"/>
    <col min="12073" max="12073" width="9.7109375" style="2" bestFit="1" customWidth="1"/>
    <col min="12074" max="12074" width="11.85546875" style="2" bestFit="1" customWidth="1"/>
    <col min="12075" max="12075" width="10.7109375" style="2" bestFit="1" customWidth="1"/>
    <col min="12076" max="12076" width="7.28515625" style="2" bestFit="1" customWidth="1"/>
    <col min="12077" max="12077" width="9.7109375" style="2" bestFit="1" customWidth="1"/>
    <col min="12078" max="12078" width="9.140625" style="2" bestFit="1" customWidth="1"/>
    <col min="12079" max="12079" width="8.5703125" style="2" bestFit="1" customWidth="1"/>
    <col min="12080" max="12080" width="101.140625" style="2" customWidth="1"/>
    <col min="12081" max="12081" width="8.85546875" style="2" bestFit="1" customWidth="1"/>
    <col min="12082" max="12082" width="9.85546875" style="2" customWidth="1"/>
    <col min="12083" max="12083" width="4.42578125" style="2" customWidth="1"/>
    <col min="12084" max="12084" width="11.5703125" style="2" customWidth="1"/>
    <col min="12085" max="12085" width="12" style="2"/>
    <col min="12086" max="12086" width="14.42578125" style="2" bestFit="1" customWidth="1"/>
    <col min="12087" max="12087" width="10.42578125" style="2" customWidth="1"/>
    <col min="12088" max="12088" width="12.28515625" style="2" customWidth="1"/>
    <col min="12089" max="12089" width="12" style="2"/>
    <col min="12090" max="12090" width="9.42578125" style="2" customWidth="1"/>
    <col min="12091" max="12092" width="12" style="2"/>
    <col min="12093" max="12094" width="14.42578125" style="2" customWidth="1"/>
    <col min="12095" max="12095" width="14.28515625" style="2" customWidth="1"/>
    <col min="12096" max="12096" width="12.7109375" style="2" customWidth="1"/>
    <col min="12097" max="12101" width="12" style="2"/>
    <col min="12102" max="12102" width="14.28515625" style="2" bestFit="1" customWidth="1"/>
    <col min="12103" max="12288" width="12" style="2"/>
    <col min="12289" max="12289" width="8" style="2" bestFit="1" customWidth="1"/>
    <col min="12290" max="12292" width="6" style="2" customWidth="1"/>
    <col min="12293" max="12293" width="7.140625" style="2" bestFit="1" customWidth="1"/>
    <col min="12294" max="12295" width="7.140625" style="2" customWidth="1"/>
    <col min="12296" max="12298" width="8.28515625" style="2" customWidth="1"/>
    <col min="12299" max="12299" width="7.140625" style="2" bestFit="1" customWidth="1"/>
    <col min="12300" max="12300" width="6" style="2" customWidth="1"/>
    <col min="12301" max="12301" width="9.42578125" style="2" customWidth="1"/>
    <col min="12302" max="12302" width="8.140625" style="2" bestFit="1" customWidth="1"/>
    <col min="12303" max="12303" width="8.85546875" style="2" bestFit="1" customWidth="1"/>
    <col min="12304" max="12304" width="9.140625" style="2" bestFit="1" customWidth="1"/>
    <col min="12305" max="12305" width="45.140625" style="2" bestFit="1" customWidth="1"/>
    <col min="12306" max="12306" width="2.140625" style="2" customWidth="1"/>
    <col min="12307" max="12307" width="8" style="2" bestFit="1" customWidth="1"/>
    <col min="12308" max="12308" width="6.85546875" style="2" customWidth="1"/>
    <col min="12309" max="12310" width="7.42578125" style="2" customWidth="1"/>
    <col min="12311" max="12312" width="8" style="2" customWidth="1"/>
    <col min="12313" max="12313" width="7.42578125" style="2" customWidth="1"/>
    <col min="12314" max="12314" width="7.5703125" style="2" customWidth="1"/>
    <col min="12315" max="12316" width="7.42578125" style="2" customWidth="1"/>
    <col min="12317" max="12317" width="11.140625" style="2" bestFit="1" customWidth="1"/>
    <col min="12318" max="12318" width="7.7109375" style="2" customWidth="1"/>
    <col min="12319" max="12319" width="8" style="2" customWidth="1"/>
    <col min="12320" max="12321" width="7.85546875" style="2" customWidth="1"/>
    <col min="12322" max="12323" width="7.28515625" style="2" customWidth="1"/>
    <col min="12324" max="12324" width="8" style="2" customWidth="1"/>
    <col min="12325" max="12325" width="7.85546875" style="2" customWidth="1"/>
    <col min="12326" max="12326" width="6.7109375" style="2" bestFit="1" customWidth="1"/>
    <col min="12327" max="12327" width="9.28515625" style="2" bestFit="1" customWidth="1"/>
    <col min="12328" max="12328" width="10.7109375" style="2" customWidth="1"/>
    <col min="12329" max="12329" width="9.7109375" style="2" bestFit="1" customWidth="1"/>
    <col min="12330" max="12330" width="11.85546875" style="2" bestFit="1" customWidth="1"/>
    <col min="12331" max="12331" width="10.7109375" style="2" bestFit="1" customWidth="1"/>
    <col min="12332" max="12332" width="7.28515625" style="2" bestFit="1" customWidth="1"/>
    <col min="12333" max="12333" width="9.7109375" style="2" bestFit="1" customWidth="1"/>
    <col min="12334" max="12334" width="9.140625" style="2" bestFit="1" customWidth="1"/>
    <col min="12335" max="12335" width="8.5703125" style="2" bestFit="1" customWidth="1"/>
    <col min="12336" max="12336" width="101.140625" style="2" customWidth="1"/>
    <col min="12337" max="12337" width="8.85546875" style="2" bestFit="1" customWidth="1"/>
    <col min="12338" max="12338" width="9.85546875" style="2" customWidth="1"/>
    <col min="12339" max="12339" width="4.42578125" style="2" customWidth="1"/>
    <col min="12340" max="12340" width="11.5703125" style="2" customWidth="1"/>
    <col min="12341" max="12341" width="12" style="2"/>
    <col min="12342" max="12342" width="14.42578125" style="2" bestFit="1" customWidth="1"/>
    <col min="12343" max="12343" width="10.42578125" style="2" customWidth="1"/>
    <col min="12344" max="12344" width="12.28515625" style="2" customWidth="1"/>
    <col min="12345" max="12345" width="12" style="2"/>
    <col min="12346" max="12346" width="9.42578125" style="2" customWidth="1"/>
    <col min="12347" max="12348" width="12" style="2"/>
    <col min="12349" max="12350" width="14.42578125" style="2" customWidth="1"/>
    <col min="12351" max="12351" width="14.28515625" style="2" customWidth="1"/>
    <col min="12352" max="12352" width="12.7109375" style="2" customWidth="1"/>
    <col min="12353" max="12357" width="12" style="2"/>
    <col min="12358" max="12358" width="14.28515625" style="2" bestFit="1" customWidth="1"/>
    <col min="12359" max="12544" width="12" style="2"/>
    <col min="12545" max="12545" width="8" style="2" bestFit="1" customWidth="1"/>
    <col min="12546" max="12548" width="6" style="2" customWidth="1"/>
    <col min="12549" max="12549" width="7.140625" style="2" bestFit="1" customWidth="1"/>
    <col min="12550" max="12551" width="7.140625" style="2" customWidth="1"/>
    <col min="12552" max="12554" width="8.28515625" style="2" customWidth="1"/>
    <col min="12555" max="12555" width="7.140625" style="2" bestFit="1" customWidth="1"/>
    <col min="12556" max="12556" width="6" style="2" customWidth="1"/>
    <col min="12557" max="12557" width="9.42578125" style="2" customWidth="1"/>
    <col min="12558" max="12558" width="8.140625" style="2" bestFit="1" customWidth="1"/>
    <col min="12559" max="12559" width="8.85546875" style="2" bestFit="1" customWidth="1"/>
    <col min="12560" max="12560" width="9.140625" style="2" bestFit="1" customWidth="1"/>
    <col min="12561" max="12561" width="45.140625" style="2" bestFit="1" customWidth="1"/>
    <col min="12562" max="12562" width="2.140625" style="2" customWidth="1"/>
    <col min="12563" max="12563" width="8" style="2" bestFit="1" customWidth="1"/>
    <col min="12564" max="12564" width="6.85546875" style="2" customWidth="1"/>
    <col min="12565" max="12566" width="7.42578125" style="2" customWidth="1"/>
    <col min="12567" max="12568" width="8" style="2" customWidth="1"/>
    <col min="12569" max="12569" width="7.42578125" style="2" customWidth="1"/>
    <col min="12570" max="12570" width="7.5703125" style="2" customWidth="1"/>
    <col min="12571" max="12572" width="7.42578125" style="2" customWidth="1"/>
    <col min="12573" max="12573" width="11.140625" style="2" bestFit="1" customWidth="1"/>
    <col min="12574" max="12574" width="7.7109375" style="2" customWidth="1"/>
    <col min="12575" max="12575" width="8" style="2" customWidth="1"/>
    <col min="12576" max="12577" width="7.85546875" style="2" customWidth="1"/>
    <col min="12578" max="12579" width="7.28515625" style="2" customWidth="1"/>
    <col min="12580" max="12580" width="8" style="2" customWidth="1"/>
    <col min="12581" max="12581" width="7.85546875" style="2" customWidth="1"/>
    <col min="12582" max="12582" width="6.7109375" style="2" bestFit="1" customWidth="1"/>
    <col min="12583" max="12583" width="9.28515625" style="2" bestFit="1" customWidth="1"/>
    <col min="12584" max="12584" width="10.7109375" style="2" customWidth="1"/>
    <col min="12585" max="12585" width="9.7109375" style="2" bestFit="1" customWidth="1"/>
    <col min="12586" max="12586" width="11.85546875" style="2" bestFit="1" customWidth="1"/>
    <col min="12587" max="12587" width="10.7109375" style="2" bestFit="1" customWidth="1"/>
    <col min="12588" max="12588" width="7.28515625" style="2" bestFit="1" customWidth="1"/>
    <col min="12589" max="12589" width="9.7109375" style="2" bestFit="1" customWidth="1"/>
    <col min="12590" max="12590" width="9.140625" style="2" bestFit="1" customWidth="1"/>
    <col min="12591" max="12591" width="8.5703125" style="2" bestFit="1" customWidth="1"/>
    <col min="12592" max="12592" width="101.140625" style="2" customWidth="1"/>
    <col min="12593" max="12593" width="8.85546875" style="2" bestFit="1" customWidth="1"/>
    <col min="12594" max="12594" width="9.85546875" style="2" customWidth="1"/>
    <col min="12595" max="12595" width="4.42578125" style="2" customWidth="1"/>
    <col min="12596" max="12596" width="11.5703125" style="2" customWidth="1"/>
    <col min="12597" max="12597" width="12" style="2"/>
    <col min="12598" max="12598" width="14.42578125" style="2" bestFit="1" customWidth="1"/>
    <col min="12599" max="12599" width="10.42578125" style="2" customWidth="1"/>
    <col min="12600" max="12600" width="12.28515625" style="2" customWidth="1"/>
    <col min="12601" max="12601" width="12" style="2"/>
    <col min="12602" max="12602" width="9.42578125" style="2" customWidth="1"/>
    <col min="12603" max="12604" width="12" style="2"/>
    <col min="12605" max="12606" width="14.42578125" style="2" customWidth="1"/>
    <col min="12607" max="12607" width="14.28515625" style="2" customWidth="1"/>
    <col min="12608" max="12608" width="12.7109375" style="2" customWidth="1"/>
    <col min="12609" max="12613" width="12" style="2"/>
    <col min="12614" max="12614" width="14.28515625" style="2" bestFit="1" customWidth="1"/>
    <col min="12615" max="12800" width="12" style="2"/>
    <col min="12801" max="12801" width="8" style="2" bestFit="1" customWidth="1"/>
    <col min="12802" max="12804" width="6" style="2" customWidth="1"/>
    <col min="12805" max="12805" width="7.140625" style="2" bestFit="1" customWidth="1"/>
    <col min="12806" max="12807" width="7.140625" style="2" customWidth="1"/>
    <col min="12808" max="12810" width="8.28515625" style="2" customWidth="1"/>
    <col min="12811" max="12811" width="7.140625" style="2" bestFit="1" customWidth="1"/>
    <col min="12812" max="12812" width="6" style="2" customWidth="1"/>
    <col min="12813" max="12813" width="9.42578125" style="2" customWidth="1"/>
    <col min="12814" max="12814" width="8.140625" style="2" bestFit="1" customWidth="1"/>
    <col min="12815" max="12815" width="8.85546875" style="2" bestFit="1" customWidth="1"/>
    <col min="12816" max="12816" width="9.140625" style="2" bestFit="1" customWidth="1"/>
    <col min="12817" max="12817" width="45.140625" style="2" bestFit="1" customWidth="1"/>
    <col min="12818" max="12818" width="2.140625" style="2" customWidth="1"/>
    <col min="12819" max="12819" width="8" style="2" bestFit="1" customWidth="1"/>
    <col min="12820" max="12820" width="6.85546875" style="2" customWidth="1"/>
    <col min="12821" max="12822" width="7.42578125" style="2" customWidth="1"/>
    <col min="12823" max="12824" width="8" style="2" customWidth="1"/>
    <col min="12825" max="12825" width="7.42578125" style="2" customWidth="1"/>
    <col min="12826" max="12826" width="7.5703125" style="2" customWidth="1"/>
    <col min="12827" max="12828" width="7.42578125" style="2" customWidth="1"/>
    <col min="12829" max="12829" width="11.140625" style="2" bestFit="1" customWidth="1"/>
    <col min="12830" max="12830" width="7.7109375" style="2" customWidth="1"/>
    <col min="12831" max="12831" width="8" style="2" customWidth="1"/>
    <col min="12832" max="12833" width="7.85546875" style="2" customWidth="1"/>
    <col min="12834" max="12835" width="7.28515625" style="2" customWidth="1"/>
    <col min="12836" max="12836" width="8" style="2" customWidth="1"/>
    <col min="12837" max="12837" width="7.85546875" style="2" customWidth="1"/>
    <col min="12838" max="12838" width="6.7109375" style="2" bestFit="1" customWidth="1"/>
    <col min="12839" max="12839" width="9.28515625" style="2" bestFit="1" customWidth="1"/>
    <col min="12840" max="12840" width="10.7109375" style="2" customWidth="1"/>
    <col min="12841" max="12841" width="9.7109375" style="2" bestFit="1" customWidth="1"/>
    <col min="12842" max="12842" width="11.85546875" style="2" bestFit="1" customWidth="1"/>
    <col min="12843" max="12843" width="10.7109375" style="2" bestFit="1" customWidth="1"/>
    <col min="12844" max="12844" width="7.28515625" style="2" bestFit="1" customWidth="1"/>
    <col min="12845" max="12845" width="9.7109375" style="2" bestFit="1" customWidth="1"/>
    <col min="12846" max="12846" width="9.140625" style="2" bestFit="1" customWidth="1"/>
    <col min="12847" max="12847" width="8.5703125" style="2" bestFit="1" customWidth="1"/>
    <col min="12848" max="12848" width="101.140625" style="2" customWidth="1"/>
    <col min="12849" max="12849" width="8.85546875" style="2" bestFit="1" customWidth="1"/>
    <col min="12850" max="12850" width="9.85546875" style="2" customWidth="1"/>
    <col min="12851" max="12851" width="4.42578125" style="2" customWidth="1"/>
    <col min="12852" max="12852" width="11.5703125" style="2" customWidth="1"/>
    <col min="12853" max="12853" width="12" style="2"/>
    <col min="12854" max="12854" width="14.42578125" style="2" bestFit="1" customWidth="1"/>
    <col min="12855" max="12855" width="10.42578125" style="2" customWidth="1"/>
    <col min="12856" max="12856" width="12.28515625" style="2" customWidth="1"/>
    <col min="12857" max="12857" width="12" style="2"/>
    <col min="12858" max="12858" width="9.42578125" style="2" customWidth="1"/>
    <col min="12859" max="12860" width="12" style="2"/>
    <col min="12861" max="12862" width="14.42578125" style="2" customWidth="1"/>
    <col min="12863" max="12863" width="14.28515625" style="2" customWidth="1"/>
    <col min="12864" max="12864" width="12.7109375" style="2" customWidth="1"/>
    <col min="12865" max="12869" width="12" style="2"/>
    <col min="12870" max="12870" width="14.28515625" style="2" bestFit="1" customWidth="1"/>
    <col min="12871" max="13056" width="12" style="2"/>
    <col min="13057" max="13057" width="8" style="2" bestFit="1" customWidth="1"/>
    <col min="13058" max="13060" width="6" style="2" customWidth="1"/>
    <col min="13061" max="13061" width="7.140625" style="2" bestFit="1" customWidth="1"/>
    <col min="13062" max="13063" width="7.140625" style="2" customWidth="1"/>
    <col min="13064" max="13066" width="8.28515625" style="2" customWidth="1"/>
    <col min="13067" max="13067" width="7.140625" style="2" bestFit="1" customWidth="1"/>
    <col min="13068" max="13068" width="6" style="2" customWidth="1"/>
    <col min="13069" max="13069" width="9.42578125" style="2" customWidth="1"/>
    <col min="13070" max="13070" width="8.140625" style="2" bestFit="1" customWidth="1"/>
    <col min="13071" max="13071" width="8.85546875" style="2" bestFit="1" customWidth="1"/>
    <col min="13072" max="13072" width="9.140625" style="2" bestFit="1" customWidth="1"/>
    <col min="13073" max="13073" width="45.140625" style="2" bestFit="1" customWidth="1"/>
    <col min="13074" max="13074" width="2.140625" style="2" customWidth="1"/>
    <col min="13075" max="13075" width="8" style="2" bestFit="1" customWidth="1"/>
    <col min="13076" max="13076" width="6.85546875" style="2" customWidth="1"/>
    <col min="13077" max="13078" width="7.42578125" style="2" customWidth="1"/>
    <col min="13079" max="13080" width="8" style="2" customWidth="1"/>
    <col min="13081" max="13081" width="7.42578125" style="2" customWidth="1"/>
    <col min="13082" max="13082" width="7.5703125" style="2" customWidth="1"/>
    <col min="13083" max="13084" width="7.42578125" style="2" customWidth="1"/>
    <col min="13085" max="13085" width="11.140625" style="2" bestFit="1" customWidth="1"/>
    <col min="13086" max="13086" width="7.7109375" style="2" customWidth="1"/>
    <col min="13087" max="13087" width="8" style="2" customWidth="1"/>
    <col min="13088" max="13089" width="7.85546875" style="2" customWidth="1"/>
    <col min="13090" max="13091" width="7.28515625" style="2" customWidth="1"/>
    <col min="13092" max="13092" width="8" style="2" customWidth="1"/>
    <col min="13093" max="13093" width="7.85546875" style="2" customWidth="1"/>
    <col min="13094" max="13094" width="6.7109375" style="2" bestFit="1" customWidth="1"/>
    <col min="13095" max="13095" width="9.28515625" style="2" bestFit="1" customWidth="1"/>
    <col min="13096" max="13096" width="10.7109375" style="2" customWidth="1"/>
    <col min="13097" max="13097" width="9.7109375" style="2" bestFit="1" customWidth="1"/>
    <col min="13098" max="13098" width="11.85546875" style="2" bestFit="1" customWidth="1"/>
    <col min="13099" max="13099" width="10.7109375" style="2" bestFit="1" customWidth="1"/>
    <col min="13100" max="13100" width="7.28515625" style="2" bestFit="1" customWidth="1"/>
    <col min="13101" max="13101" width="9.7109375" style="2" bestFit="1" customWidth="1"/>
    <col min="13102" max="13102" width="9.140625" style="2" bestFit="1" customWidth="1"/>
    <col min="13103" max="13103" width="8.5703125" style="2" bestFit="1" customWidth="1"/>
    <col min="13104" max="13104" width="101.140625" style="2" customWidth="1"/>
    <col min="13105" max="13105" width="8.85546875" style="2" bestFit="1" customWidth="1"/>
    <col min="13106" max="13106" width="9.85546875" style="2" customWidth="1"/>
    <col min="13107" max="13107" width="4.42578125" style="2" customWidth="1"/>
    <col min="13108" max="13108" width="11.5703125" style="2" customWidth="1"/>
    <col min="13109" max="13109" width="12" style="2"/>
    <col min="13110" max="13110" width="14.42578125" style="2" bestFit="1" customWidth="1"/>
    <col min="13111" max="13111" width="10.42578125" style="2" customWidth="1"/>
    <col min="13112" max="13112" width="12.28515625" style="2" customWidth="1"/>
    <col min="13113" max="13113" width="12" style="2"/>
    <col min="13114" max="13114" width="9.42578125" style="2" customWidth="1"/>
    <col min="13115" max="13116" width="12" style="2"/>
    <col min="13117" max="13118" width="14.42578125" style="2" customWidth="1"/>
    <col min="13119" max="13119" width="14.28515625" style="2" customWidth="1"/>
    <col min="13120" max="13120" width="12.7109375" style="2" customWidth="1"/>
    <col min="13121" max="13125" width="12" style="2"/>
    <col min="13126" max="13126" width="14.28515625" style="2" bestFit="1" customWidth="1"/>
    <col min="13127" max="13312" width="12" style="2"/>
    <col min="13313" max="13313" width="8" style="2" bestFit="1" customWidth="1"/>
    <col min="13314" max="13316" width="6" style="2" customWidth="1"/>
    <col min="13317" max="13317" width="7.140625" style="2" bestFit="1" customWidth="1"/>
    <col min="13318" max="13319" width="7.140625" style="2" customWidth="1"/>
    <col min="13320" max="13322" width="8.28515625" style="2" customWidth="1"/>
    <col min="13323" max="13323" width="7.140625" style="2" bestFit="1" customWidth="1"/>
    <col min="13324" max="13324" width="6" style="2" customWidth="1"/>
    <col min="13325" max="13325" width="9.42578125" style="2" customWidth="1"/>
    <col min="13326" max="13326" width="8.140625" style="2" bestFit="1" customWidth="1"/>
    <col min="13327" max="13327" width="8.85546875" style="2" bestFit="1" customWidth="1"/>
    <col min="13328" max="13328" width="9.140625" style="2" bestFit="1" customWidth="1"/>
    <col min="13329" max="13329" width="45.140625" style="2" bestFit="1" customWidth="1"/>
    <col min="13330" max="13330" width="2.140625" style="2" customWidth="1"/>
    <col min="13331" max="13331" width="8" style="2" bestFit="1" customWidth="1"/>
    <col min="13332" max="13332" width="6.85546875" style="2" customWidth="1"/>
    <col min="13333" max="13334" width="7.42578125" style="2" customWidth="1"/>
    <col min="13335" max="13336" width="8" style="2" customWidth="1"/>
    <col min="13337" max="13337" width="7.42578125" style="2" customWidth="1"/>
    <col min="13338" max="13338" width="7.5703125" style="2" customWidth="1"/>
    <col min="13339" max="13340" width="7.42578125" style="2" customWidth="1"/>
    <col min="13341" max="13341" width="11.140625" style="2" bestFit="1" customWidth="1"/>
    <col min="13342" max="13342" width="7.7109375" style="2" customWidth="1"/>
    <col min="13343" max="13343" width="8" style="2" customWidth="1"/>
    <col min="13344" max="13345" width="7.85546875" style="2" customWidth="1"/>
    <col min="13346" max="13347" width="7.28515625" style="2" customWidth="1"/>
    <col min="13348" max="13348" width="8" style="2" customWidth="1"/>
    <col min="13349" max="13349" width="7.85546875" style="2" customWidth="1"/>
    <col min="13350" max="13350" width="6.7109375" style="2" bestFit="1" customWidth="1"/>
    <col min="13351" max="13351" width="9.28515625" style="2" bestFit="1" customWidth="1"/>
    <col min="13352" max="13352" width="10.7109375" style="2" customWidth="1"/>
    <col min="13353" max="13353" width="9.7109375" style="2" bestFit="1" customWidth="1"/>
    <col min="13354" max="13354" width="11.85546875" style="2" bestFit="1" customWidth="1"/>
    <col min="13355" max="13355" width="10.7109375" style="2" bestFit="1" customWidth="1"/>
    <col min="13356" max="13356" width="7.28515625" style="2" bestFit="1" customWidth="1"/>
    <col min="13357" max="13357" width="9.7109375" style="2" bestFit="1" customWidth="1"/>
    <col min="13358" max="13358" width="9.140625" style="2" bestFit="1" customWidth="1"/>
    <col min="13359" max="13359" width="8.5703125" style="2" bestFit="1" customWidth="1"/>
    <col min="13360" max="13360" width="101.140625" style="2" customWidth="1"/>
    <col min="13361" max="13361" width="8.85546875" style="2" bestFit="1" customWidth="1"/>
    <col min="13362" max="13362" width="9.85546875" style="2" customWidth="1"/>
    <col min="13363" max="13363" width="4.42578125" style="2" customWidth="1"/>
    <col min="13364" max="13364" width="11.5703125" style="2" customWidth="1"/>
    <col min="13365" max="13365" width="12" style="2"/>
    <col min="13366" max="13366" width="14.42578125" style="2" bestFit="1" customWidth="1"/>
    <col min="13367" max="13367" width="10.42578125" style="2" customWidth="1"/>
    <col min="13368" max="13368" width="12.28515625" style="2" customWidth="1"/>
    <col min="13369" max="13369" width="12" style="2"/>
    <col min="13370" max="13370" width="9.42578125" style="2" customWidth="1"/>
    <col min="13371" max="13372" width="12" style="2"/>
    <col min="13373" max="13374" width="14.42578125" style="2" customWidth="1"/>
    <col min="13375" max="13375" width="14.28515625" style="2" customWidth="1"/>
    <col min="13376" max="13376" width="12.7109375" style="2" customWidth="1"/>
    <col min="13377" max="13381" width="12" style="2"/>
    <col min="13382" max="13382" width="14.28515625" style="2" bestFit="1" customWidth="1"/>
    <col min="13383" max="13568" width="12" style="2"/>
    <col min="13569" max="13569" width="8" style="2" bestFit="1" customWidth="1"/>
    <col min="13570" max="13572" width="6" style="2" customWidth="1"/>
    <col min="13573" max="13573" width="7.140625" style="2" bestFit="1" customWidth="1"/>
    <col min="13574" max="13575" width="7.140625" style="2" customWidth="1"/>
    <col min="13576" max="13578" width="8.28515625" style="2" customWidth="1"/>
    <col min="13579" max="13579" width="7.140625" style="2" bestFit="1" customWidth="1"/>
    <col min="13580" max="13580" width="6" style="2" customWidth="1"/>
    <col min="13581" max="13581" width="9.42578125" style="2" customWidth="1"/>
    <col min="13582" max="13582" width="8.140625" style="2" bestFit="1" customWidth="1"/>
    <col min="13583" max="13583" width="8.85546875" style="2" bestFit="1" customWidth="1"/>
    <col min="13584" max="13584" width="9.140625" style="2" bestFit="1" customWidth="1"/>
    <col min="13585" max="13585" width="45.140625" style="2" bestFit="1" customWidth="1"/>
    <col min="13586" max="13586" width="2.140625" style="2" customWidth="1"/>
    <col min="13587" max="13587" width="8" style="2" bestFit="1" customWidth="1"/>
    <col min="13588" max="13588" width="6.85546875" style="2" customWidth="1"/>
    <col min="13589" max="13590" width="7.42578125" style="2" customWidth="1"/>
    <col min="13591" max="13592" width="8" style="2" customWidth="1"/>
    <col min="13593" max="13593" width="7.42578125" style="2" customWidth="1"/>
    <col min="13594" max="13594" width="7.5703125" style="2" customWidth="1"/>
    <col min="13595" max="13596" width="7.42578125" style="2" customWidth="1"/>
    <col min="13597" max="13597" width="11.140625" style="2" bestFit="1" customWidth="1"/>
    <col min="13598" max="13598" width="7.7109375" style="2" customWidth="1"/>
    <col min="13599" max="13599" width="8" style="2" customWidth="1"/>
    <col min="13600" max="13601" width="7.85546875" style="2" customWidth="1"/>
    <col min="13602" max="13603" width="7.28515625" style="2" customWidth="1"/>
    <col min="13604" max="13604" width="8" style="2" customWidth="1"/>
    <col min="13605" max="13605" width="7.85546875" style="2" customWidth="1"/>
    <col min="13606" max="13606" width="6.7109375" style="2" bestFit="1" customWidth="1"/>
    <col min="13607" max="13607" width="9.28515625" style="2" bestFit="1" customWidth="1"/>
    <col min="13608" max="13608" width="10.7109375" style="2" customWidth="1"/>
    <col min="13609" max="13609" width="9.7109375" style="2" bestFit="1" customWidth="1"/>
    <col min="13610" max="13610" width="11.85546875" style="2" bestFit="1" customWidth="1"/>
    <col min="13611" max="13611" width="10.7109375" style="2" bestFit="1" customWidth="1"/>
    <col min="13612" max="13612" width="7.28515625" style="2" bestFit="1" customWidth="1"/>
    <col min="13613" max="13613" width="9.7109375" style="2" bestFit="1" customWidth="1"/>
    <col min="13614" max="13614" width="9.140625" style="2" bestFit="1" customWidth="1"/>
    <col min="13615" max="13615" width="8.5703125" style="2" bestFit="1" customWidth="1"/>
    <col min="13616" max="13616" width="101.140625" style="2" customWidth="1"/>
    <col min="13617" max="13617" width="8.85546875" style="2" bestFit="1" customWidth="1"/>
    <col min="13618" max="13618" width="9.85546875" style="2" customWidth="1"/>
    <col min="13619" max="13619" width="4.42578125" style="2" customWidth="1"/>
    <col min="13620" max="13620" width="11.5703125" style="2" customWidth="1"/>
    <col min="13621" max="13621" width="12" style="2"/>
    <col min="13622" max="13622" width="14.42578125" style="2" bestFit="1" customWidth="1"/>
    <col min="13623" max="13623" width="10.42578125" style="2" customWidth="1"/>
    <col min="13624" max="13624" width="12.28515625" style="2" customWidth="1"/>
    <col min="13625" max="13625" width="12" style="2"/>
    <col min="13626" max="13626" width="9.42578125" style="2" customWidth="1"/>
    <col min="13627" max="13628" width="12" style="2"/>
    <col min="13629" max="13630" width="14.42578125" style="2" customWidth="1"/>
    <col min="13631" max="13631" width="14.28515625" style="2" customWidth="1"/>
    <col min="13632" max="13632" width="12.7109375" style="2" customWidth="1"/>
    <col min="13633" max="13637" width="12" style="2"/>
    <col min="13638" max="13638" width="14.28515625" style="2" bestFit="1" customWidth="1"/>
    <col min="13639" max="13824" width="12" style="2"/>
    <col min="13825" max="13825" width="8" style="2" bestFit="1" customWidth="1"/>
    <col min="13826" max="13828" width="6" style="2" customWidth="1"/>
    <col min="13829" max="13829" width="7.140625" style="2" bestFit="1" customWidth="1"/>
    <col min="13830" max="13831" width="7.140625" style="2" customWidth="1"/>
    <col min="13832" max="13834" width="8.28515625" style="2" customWidth="1"/>
    <col min="13835" max="13835" width="7.140625" style="2" bestFit="1" customWidth="1"/>
    <col min="13836" max="13836" width="6" style="2" customWidth="1"/>
    <col min="13837" max="13837" width="9.42578125" style="2" customWidth="1"/>
    <col min="13838" max="13838" width="8.140625" style="2" bestFit="1" customWidth="1"/>
    <col min="13839" max="13839" width="8.85546875" style="2" bestFit="1" customWidth="1"/>
    <col min="13840" max="13840" width="9.140625" style="2" bestFit="1" customWidth="1"/>
    <col min="13841" max="13841" width="45.140625" style="2" bestFit="1" customWidth="1"/>
    <col min="13842" max="13842" width="2.140625" style="2" customWidth="1"/>
    <col min="13843" max="13843" width="8" style="2" bestFit="1" customWidth="1"/>
    <col min="13844" max="13844" width="6.85546875" style="2" customWidth="1"/>
    <col min="13845" max="13846" width="7.42578125" style="2" customWidth="1"/>
    <col min="13847" max="13848" width="8" style="2" customWidth="1"/>
    <col min="13849" max="13849" width="7.42578125" style="2" customWidth="1"/>
    <col min="13850" max="13850" width="7.5703125" style="2" customWidth="1"/>
    <col min="13851" max="13852" width="7.42578125" style="2" customWidth="1"/>
    <col min="13853" max="13853" width="11.140625" style="2" bestFit="1" customWidth="1"/>
    <col min="13854" max="13854" width="7.7109375" style="2" customWidth="1"/>
    <col min="13855" max="13855" width="8" style="2" customWidth="1"/>
    <col min="13856" max="13857" width="7.85546875" style="2" customWidth="1"/>
    <col min="13858" max="13859" width="7.28515625" style="2" customWidth="1"/>
    <col min="13860" max="13860" width="8" style="2" customWidth="1"/>
    <col min="13861" max="13861" width="7.85546875" style="2" customWidth="1"/>
    <col min="13862" max="13862" width="6.7109375" style="2" bestFit="1" customWidth="1"/>
    <col min="13863" max="13863" width="9.28515625" style="2" bestFit="1" customWidth="1"/>
    <col min="13864" max="13864" width="10.7109375" style="2" customWidth="1"/>
    <col min="13865" max="13865" width="9.7109375" style="2" bestFit="1" customWidth="1"/>
    <col min="13866" max="13866" width="11.85546875" style="2" bestFit="1" customWidth="1"/>
    <col min="13867" max="13867" width="10.7109375" style="2" bestFit="1" customWidth="1"/>
    <col min="13868" max="13868" width="7.28515625" style="2" bestFit="1" customWidth="1"/>
    <col min="13869" max="13869" width="9.7109375" style="2" bestFit="1" customWidth="1"/>
    <col min="13870" max="13870" width="9.140625" style="2" bestFit="1" customWidth="1"/>
    <col min="13871" max="13871" width="8.5703125" style="2" bestFit="1" customWidth="1"/>
    <col min="13872" max="13872" width="101.140625" style="2" customWidth="1"/>
    <col min="13873" max="13873" width="8.85546875" style="2" bestFit="1" customWidth="1"/>
    <col min="13874" max="13874" width="9.85546875" style="2" customWidth="1"/>
    <col min="13875" max="13875" width="4.42578125" style="2" customWidth="1"/>
    <col min="13876" max="13876" width="11.5703125" style="2" customWidth="1"/>
    <col min="13877" max="13877" width="12" style="2"/>
    <col min="13878" max="13878" width="14.42578125" style="2" bestFit="1" customWidth="1"/>
    <col min="13879" max="13879" width="10.42578125" style="2" customWidth="1"/>
    <col min="13880" max="13880" width="12.28515625" style="2" customWidth="1"/>
    <col min="13881" max="13881" width="12" style="2"/>
    <col min="13882" max="13882" width="9.42578125" style="2" customWidth="1"/>
    <col min="13883" max="13884" width="12" style="2"/>
    <col min="13885" max="13886" width="14.42578125" style="2" customWidth="1"/>
    <col min="13887" max="13887" width="14.28515625" style="2" customWidth="1"/>
    <col min="13888" max="13888" width="12.7109375" style="2" customWidth="1"/>
    <col min="13889" max="13893" width="12" style="2"/>
    <col min="13894" max="13894" width="14.28515625" style="2" bestFit="1" customWidth="1"/>
    <col min="13895" max="14080" width="12" style="2"/>
    <col min="14081" max="14081" width="8" style="2" bestFit="1" customWidth="1"/>
    <col min="14082" max="14084" width="6" style="2" customWidth="1"/>
    <col min="14085" max="14085" width="7.140625" style="2" bestFit="1" customWidth="1"/>
    <col min="14086" max="14087" width="7.140625" style="2" customWidth="1"/>
    <col min="14088" max="14090" width="8.28515625" style="2" customWidth="1"/>
    <col min="14091" max="14091" width="7.140625" style="2" bestFit="1" customWidth="1"/>
    <col min="14092" max="14092" width="6" style="2" customWidth="1"/>
    <col min="14093" max="14093" width="9.42578125" style="2" customWidth="1"/>
    <col min="14094" max="14094" width="8.140625" style="2" bestFit="1" customWidth="1"/>
    <col min="14095" max="14095" width="8.85546875" style="2" bestFit="1" customWidth="1"/>
    <col min="14096" max="14096" width="9.140625" style="2" bestFit="1" customWidth="1"/>
    <col min="14097" max="14097" width="45.140625" style="2" bestFit="1" customWidth="1"/>
    <col min="14098" max="14098" width="2.140625" style="2" customWidth="1"/>
    <col min="14099" max="14099" width="8" style="2" bestFit="1" customWidth="1"/>
    <col min="14100" max="14100" width="6.85546875" style="2" customWidth="1"/>
    <col min="14101" max="14102" width="7.42578125" style="2" customWidth="1"/>
    <col min="14103" max="14104" width="8" style="2" customWidth="1"/>
    <col min="14105" max="14105" width="7.42578125" style="2" customWidth="1"/>
    <col min="14106" max="14106" width="7.5703125" style="2" customWidth="1"/>
    <col min="14107" max="14108" width="7.42578125" style="2" customWidth="1"/>
    <col min="14109" max="14109" width="11.140625" style="2" bestFit="1" customWidth="1"/>
    <col min="14110" max="14110" width="7.7109375" style="2" customWidth="1"/>
    <col min="14111" max="14111" width="8" style="2" customWidth="1"/>
    <col min="14112" max="14113" width="7.85546875" style="2" customWidth="1"/>
    <col min="14114" max="14115" width="7.28515625" style="2" customWidth="1"/>
    <col min="14116" max="14116" width="8" style="2" customWidth="1"/>
    <col min="14117" max="14117" width="7.85546875" style="2" customWidth="1"/>
    <col min="14118" max="14118" width="6.7109375" style="2" bestFit="1" customWidth="1"/>
    <col min="14119" max="14119" width="9.28515625" style="2" bestFit="1" customWidth="1"/>
    <col min="14120" max="14120" width="10.7109375" style="2" customWidth="1"/>
    <col min="14121" max="14121" width="9.7109375" style="2" bestFit="1" customWidth="1"/>
    <col min="14122" max="14122" width="11.85546875" style="2" bestFit="1" customWidth="1"/>
    <col min="14123" max="14123" width="10.7109375" style="2" bestFit="1" customWidth="1"/>
    <col min="14124" max="14124" width="7.28515625" style="2" bestFit="1" customWidth="1"/>
    <col min="14125" max="14125" width="9.7109375" style="2" bestFit="1" customWidth="1"/>
    <col min="14126" max="14126" width="9.140625" style="2" bestFit="1" customWidth="1"/>
    <col min="14127" max="14127" width="8.5703125" style="2" bestFit="1" customWidth="1"/>
    <col min="14128" max="14128" width="101.140625" style="2" customWidth="1"/>
    <col min="14129" max="14129" width="8.85546875" style="2" bestFit="1" customWidth="1"/>
    <col min="14130" max="14130" width="9.85546875" style="2" customWidth="1"/>
    <col min="14131" max="14131" width="4.42578125" style="2" customWidth="1"/>
    <col min="14132" max="14132" width="11.5703125" style="2" customWidth="1"/>
    <col min="14133" max="14133" width="12" style="2"/>
    <col min="14134" max="14134" width="14.42578125" style="2" bestFit="1" customWidth="1"/>
    <col min="14135" max="14135" width="10.42578125" style="2" customWidth="1"/>
    <col min="14136" max="14136" width="12.28515625" style="2" customWidth="1"/>
    <col min="14137" max="14137" width="12" style="2"/>
    <col min="14138" max="14138" width="9.42578125" style="2" customWidth="1"/>
    <col min="14139" max="14140" width="12" style="2"/>
    <col min="14141" max="14142" width="14.42578125" style="2" customWidth="1"/>
    <col min="14143" max="14143" width="14.28515625" style="2" customWidth="1"/>
    <col min="14144" max="14144" width="12.7109375" style="2" customWidth="1"/>
    <col min="14145" max="14149" width="12" style="2"/>
    <col min="14150" max="14150" width="14.28515625" style="2" bestFit="1" customWidth="1"/>
    <col min="14151" max="14336" width="12" style="2"/>
    <col min="14337" max="14337" width="8" style="2" bestFit="1" customWidth="1"/>
    <col min="14338" max="14340" width="6" style="2" customWidth="1"/>
    <col min="14341" max="14341" width="7.140625" style="2" bestFit="1" customWidth="1"/>
    <col min="14342" max="14343" width="7.140625" style="2" customWidth="1"/>
    <col min="14344" max="14346" width="8.28515625" style="2" customWidth="1"/>
    <col min="14347" max="14347" width="7.140625" style="2" bestFit="1" customWidth="1"/>
    <col min="14348" max="14348" width="6" style="2" customWidth="1"/>
    <col min="14349" max="14349" width="9.42578125" style="2" customWidth="1"/>
    <col min="14350" max="14350" width="8.140625" style="2" bestFit="1" customWidth="1"/>
    <col min="14351" max="14351" width="8.85546875" style="2" bestFit="1" customWidth="1"/>
    <col min="14352" max="14352" width="9.140625" style="2" bestFit="1" customWidth="1"/>
    <col min="14353" max="14353" width="45.140625" style="2" bestFit="1" customWidth="1"/>
    <col min="14354" max="14354" width="2.140625" style="2" customWidth="1"/>
    <col min="14355" max="14355" width="8" style="2" bestFit="1" customWidth="1"/>
    <col min="14356" max="14356" width="6.85546875" style="2" customWidth="1"/>
    <col min="14357" max="14358" width="7.42578125" style="2" customWidth="1"/>
    <col min="14359" max="14360" width="8" style="2" customWidth="1"/>
    <col min="14361" max="14361" width="7.42578125" style="2" customWidth="1"/>
    <col min="14362" max="14362" width="7.5703125" style="2" customWidth="1"/>
    <col min="14363" max="14364" width="7.42578125" style="2" customWidth="1"/>
    <col min="14365" max="14365" width="11.140625" style="2" bestFit="1" customWidth="1"/>
    <col min="14366" max="14366" width="7.7109375" style="2" customWidth="1"/>
    <col min="14367" max="14367" width="8" style="2" customWidth="1"/>
    <col min="14368" max="14369" width="7.85546875" style="2" customWidth="1"/>
    <col min="14370" max="14371" width="7.28515625" style="2" customWidth="1"/>
    <col min="14372" max="14372" width="8" style="2" customWidth="1"/>
    <col min="14373" max="14373" width="7.85546875" style="2" customWidth="1"/>
    <col min="14374" max="14374" width="6.7109375" style="2" bestFit="1" customWidth="1"/>
    <col min="14375" max="14375" width="9.28515625" style="2" bestFit="1" customWidth="1"/>
    <col min="14376" max="14376" width="10.7109375" style="2" customWidth="1"/>
    <col min="14377" max="14377" width="9.7109375" style="2" bestFit="1" customWidth="1"/>
    <col min="14378" max="14378" width="11.85546875" style="2" bestFit="1" customWidth="1"/>
    <col min="14379" max="14379" width="10.7109375" style="2" bestFit="1" customWidth="1"/>
    <col min="14380" max="14380" width="7.28515625" style="2" bestFit="1" customWidth="1"/>
    <col min="14381" max="14381" width="9.7109375" style="2" bestFit="1" customWidth="1"/>
    <col min="14382" max="14382" width="9.140625" style="2" bestFit="1" customWidth="1"/>
    <col min="14383" max="14383" width="8.5703125" style="2" bestFit="1" customWidth="1"/>
    <col min="14384" max="14384" width="101.140625" style="2" customWidth="1"/>
    <col min="14385" max="14385" width="8.85546875" style="2" bestFit="1" customWidth="1"/>
    <col min="14386" max="14386" width="9.85546875" style="2" customWidth="1"/>
    <col min="14387" max="14387" width="4.42578125" style="2" customWidth="1"/>
    <col min="14388" max="14388" width="11.5703125" style="2" customWidth="1"/>
    <col min="14389" max="14389" width="12" style="2"/>
    <col min="14390" max="14390" width="14.42578125" style="2" bestFit="1" customWidth="1"/>
    <col min="14391" max="14391" width="10.42578125" style="2" customWidth="1"/>
    <col min="14392" max="14392" width="12.28515625" style="2" customWidth="1"/>
    <col min="14393" max="14393" width="12" style="2"/>
    <col min="14394" max="14394" width="9.42578125" style="2" customWidth="1"/>
    <col min="14395" max="14396" width="12" style="2"/>
    <col min="14397" max="14398" width="14.42578125" style="2" customWidth="1"/>
    <col min="14399" max="14399" width="14.28515625" style="2" customWidth="1"/>
    <col min="14400" max="14400" width="12.7109375" style="2" customWidth="1"/>
    <col min="14401" max="14405" width="12" style="2"/>
    <col min="14406" max="14406" width="14.28515625" style="2" bestFit="1" customWidth="1"/>
    <col min="14407" max="14592" width="12" style="2"/>
    <col min="14593" max="14593" width="8" style="2" bestFit="1" customWidth="1"/>
    <col min="14594" max="14596" width="6" style="2" customWidth="1"/>
    <col min="14597" max="14597" width="7.140625" style="2" bestFit="1" customWidth="1"/>
    <col min="14598" max="14599" width="7.140625" style="2" customWidth="1"/>
    <col min="14600" max="14602" width="8.28515625" style="2" customWidth="1"/>
    <col min="14603" max="14603" width="7.140625" style="2" bestFit="1" customWidth="1"/>
    <col min="14604" max="14604" width="6" style="2" customWidth="1"/>
    <col min="14605" max="14605" width="9.42578125" style="2" customWidth="1"/>
    <col min="14606" max="14606" width="8.140625" style="2" bestFit="1" customWidth="1"/>
    <col min="14607" max="14607" width="8.85546875" style="2" bestFit="1" customWidth="1"/>
    <col min="14608" max="14608" width="9.140625" style="2" bestFit="1" customWidth="1"/>
    <col min="14609" max="14609" width="45.140625" style="2" bestFit="1" customWidth="1"/>
    <col min="14610" max="14610" width="2.140625" style="2" customWidth="1"/>
    <col min="14611" max="14611" width="8" style="2" bestFit="1" customWidth="1"/>
    <col min="14612" max="14612" width="6.85546875" style="2" customWidth="1"/>
    <col min="14613" max="14614" width="7.42578125" style="2" customWidth="1"/>
    <col min="14615" max="14616" width="8" style="2" customWidth="1"/>
    <col min="14617" max="14617" width="7.42578125" style="2" customWidth="1"/>
    <col min="14618" max="14618" width="7.5703125" style="2" customWidth="1"/>
    <col min="14619" max="14620" width="7.42578125" style="2" customWidth="1"/>
    <col min="14621" max="14621" width="11.140625" style="2" bestFit="1" customWidth="1"/>
    <col min="14622" max="14622" width="7.7109375" style="2" customWidth="1"/>
    <col min="14623" max="14623" width="8" style="2" customWidth="1"/>
    <col min="14624" max="14625" width="7.85546875" style="2" customWidth="1"/>
    <col min="14626" max="14627" width="7.28515625" style="2" customWidth="1"/>
    <col min="14628" max="14628" width="8" style="2" customWidth="1"/>
    <col min="14629" max="14629" width="7.85546875" style="2" customWidth="1"/>
    <col min="14630" max="14630" width="6.7109375" style="2" bestFit="1" customWidth="1"/>
    <col min="14631" max="14631" width="9.28515625" style="2" bestFit="1" customWidth="1"/>
    <col min="14632" max="14632" width="10.7109375" style="2" customWidth="1"/>
    <col min="14633" max="14633" width="9.7109375" style="2" bestFit="1" customWidth="1"/>
    <col min="14634" max="14634" width="11.85546875" style="2" bestFit="1" customWidth="1"/>
    <col min="14635" max="14635" width="10.7109375" style="2" bestFit="1" customWidth="1"/>
    <col min="14636" max="14636" width="7.28515625" style="2" bestFit="1" customWidth="1"/>
    <col min="14637" max="14637" width="9.7109375" style="2" bestFit="1" customWidth="1"/>
    <col min="14638" max="14638" width="9.140625" style="2" bestFit="1" customWidth="1"/>
    <col min="14639" max="14639" width="8.5703125" style="2" bestFit="1" customWidth="1"/>
    <col min="14640" max="14640" width="101.140625" style="2" customWidth="1"/>
    <col min="14641" max="14641" width="8.85546875" style="2" bestFit="1" customWidth="1"/>
    <col min="14642" max="14642" width="9.85546875" style="2" customWidth="1"/>
    <col min="14643" max="14643" width="4.42578125" style="2" customWidth="1"/>
    <col min="14644" max="14644" width="11.5703125" style="2" customWidth="1"/>
    <col min="14645" max="14645" width="12" style="2"/>
    <col min="14646" max="14646" width="14.42578125" style="2" bestFit="1" customWidth="1"/>
    <col min="14647" max="14647" width="10.42578125" style="2" customWidth="1"/>
    <col min="14648" max="14648" width="12.28515625" style="2" customWidth="1"/>
    <col min="14649" max="14649" width="12" style="2"/>
    <col min="14650" max="14650" width="9.42578125" style="2" customWidth="1"/>
    <col min="14651" max="14652" width="12" style="2"/>
    <col min="14653" max="14654" width="14.42578125" style="2" customWidth="1"/>
    <col min="14655" max="14655" width="14.28515625" style="2" customWidth="1"/>
    <col min="14656" max="14656" width="12.7109375" style="2" customWidth="1"/>
    <col min="14657" max="14661" width="12" style="2"/>
    <col min="14662" max="14662" width="14.28515625" style="2" bestFit="1" customWidth="1"/>
    <col min="14663" max="14848" width="12" style="2"/>
    <col min="14849" max="14849" width="8" style="2" bestFit="1" customWidth="1"/>
    <col min="14850" max="14852" width="6" style="2" customWidth="1"/>
    <col min="14853" max="14853" width="7.140625" style="2" bestFit="1" customWidth="1"/>
    <col min="14854" max="14855" width="7.140625" style="2" customWidth="1"/>
    <col min="14856" max="14858" width="8.28515625" style="2" customWidth="1"/>
    <col min="14859" max="14859" width="7.140625" style="2" bestFit="1" customWidth="1"/>
    <col min="14860" max="14860" width="6" style="2" customWidth="1"/>
    <col min="14861" max="14861" width="9.42578125" style="2" customWidth="1"/>
    <col min="14862" max="14862" width="8.140625" style="2" bestFit="1" customWidth="1"/>
    <col min="14863" max="14863" width="8.85546875" style="2" bestFit="1" customWidth="1"/>
    <col min="14864" max="14864" width="9.140625" style="2" bestFit="1" customWidth="1"/>
    <col min="14865" max="14865" width="45.140625" style="2" bestFit="1" customWidth="1"/>
    <col min="14866" max="14866" width="2.140625" style="2" customWidth="1"/>
    <col min="14867" max="14867" width="8" style="2" bestFit="1" customWidth="1"/>
    <col min="14868" max="14868" width="6.85546875" style="2" customWidth="1"/>
    <col min="14869" max="14870" width="7.42578125" style="2" customWidth="1"/>
    <col min="14871" max="14872" width="8" style="2" customWidth="1"/>
    <col min="14873" max="14873" width="7.42578125" style="2" customWidth="1"/>
    <col min="14874" max="14874" width="7.5703125" style="2" customWidth="1"/>
    <col min="14875" max="14876" width="7.42578125" style="2" customWidth="1"/>
    <col min="14877" max="14877" width="11.140625" style="2" bestFit="1" customWidth="1"/>
    <col min="14878" max="14878" width="7.7109375" style="2" customWidth="1"/>
    <col min="14879" max="14879" width="8" style="2" customWidth="1"/>
    <col min="14880" max="14881" width="7.85546875" style="2" customWidth="1"/>
    <col min="14882" max="14883" width="7.28515625" style="2" customWidth="1"/>
    <col min="14884" max="14884" width="8" style="2" customWidth="1"/>
    <col min="14885" max="14885" width="7.85546875" style="2" customWidth="1"/>
    <col min="14886" max="14886" width="6.7109375" style="2" bestFit="1" customWidth="1"/>
    <col min="14887" max="14887" width="9.28515625" style="2" bestFit="1" customWidth="1"/>
    <col min="14888" max="14888" width="10.7109375" style="2" customWidth="1"/>
    <col min="14889" max="14889" width="9.7109375" style="2" bestFit="1" customWidth="1"/>
    <col min="14890" max="14890" width="11.85546875" style="2" bestFit="1" customWidth="1"/>
    <col min="14891" max="14891" width="10.7109375" style="2" bestFit="1" customWidth="1"/>
    <col min="14892" max="14892" width="7.28515625" style="2" bestFit="1" customWidth="1"/>
    <col min="14893" max="14893" width="9.7109375" style="2" bestFit="1" customWidth="1"/>
    <col min="14894" max="14894" width="9.140625" style="2" bestFit="1" customWidth="1"/>
    <col min="14895" max="14895" width="8.5703125" style="2" bestFit="1" customWidth="1"/>
    <col min="14896" max="14896" width="101.140625" style="2" customWidth="1"/>
    <col min="14897" max="14897" width="8.85546875" style="2" bestFit="1" customWidth="1"/>
    <col min="14898" max="14898" width="9.85546875" style="2" customWidth="1"/>
    <col min="14899" max="14899" width="4.42578125" style="2" customWidth="1"/>
    <col min="14900" max="14900" width="11.5703125" style="2" customWidth="1"/>
    <col min="14901" max="14901" width="12" style="2"/>
    <col min="14902" max="14902" width="14.42578125" style="2" bestFit="1" customWidth="1"/>
    <col min="14903" max="14903" width="10.42578125" style="2" customWidth="1"/>
    <col min="14904" max="14904" width="12.28515625" style="2" customWidth="1"/>
    <col min="14905" max="14905" width="12" style="2"/>
    <col min="14906" max="14906" width="9.42578125" style="2" customWidth="1"/>
    <col min="14907" max="14908" width="12" style="2"/>
    <col min="14909" max="14910" width="14.42578125" style="2" customWidth="1"/>
    <col min="14911" max="14911" width="14.28515625" style="2" customWidth="1"/>
    <col min="14912" max="14912" width="12.7109375" style="2" customWidth="1"/>
    <col min="14913" max="14917" width="12" style="2"/>
    <col min="14918" max="14918" width="14.28515625" style="2" bestFit="1" customWidth="1"/>
    <col min="14919" max="15104" width="12" style="2"/>
    <col min="15105" max="15105" width="8" style="2" bestFit="1" customWidth="1"/>
    <col min="15106" max="15108" width="6" style="2" customWidth="1"/>
    <col min="15109" max="15109" width="7.140625" style="2" bestFit="1" customWidth="1"/>
    <col min="15110" max="15111" width="7.140625" style="2" customWidth="1"/>
    <col min="15112" max="15114" width="8.28515625" style="2" customWidth="1"/>
    <col min="15115" max="15115" width="7.140625" style="2" bestFit="1" customWidth="1"/>
    <col min="15116" max="15116" width="6" style="2" customWidth="1"/>
    <col min="15117" max="15117" width="9.42578125" style="2" customWidth="1"/>
    <col min="15118" max="15118" width="8.140625" style="2" bestFit="1" customWidth="1"/>
    <col min="15119" max="15119" width="8.85546875" style="2" bestFit="1" customWidth="1"/>
    <col min="15120" max="15120" width="9.140625" style="2" bestFit="1" customWidth="1"/>
    <col min="15121" max="15121" width="45.140625" style="2" bestFit="1" customWidth="1"/>
    <col min="15122" max="15122" width="2.140625" style="2" customWidth="1"/>
    <col min="15123" max="15123" width="8" style="2" bestFit="1" customWidth="1"/>
    <col min="15124" max="15124" width="6.85546875" style="2" customWidth="1"/>
    <col min="15125" max="15126" width="7.42578125" style="2" customWidth="1"/>
    <col min="15127" max="15128" width="8" style="2" customWidth="1"/>
    <col min="15129" max="15129" width="7.42578125" style="2" customWidth="1"/>
    <col min="15130" max="15130" width="7.5703125" style="2" customWidth="1"/>
    <col min="15131" max="15132" width="7.42578125" style="2" customWidth="1"/>
    <col min="15133" max="15133" width="11.140625" style="2" bestFit="1" customWidth="1"/>
    <col min="15134" max="15134" width="7.7109375" style="2" customWidth="1"/>
    <col min="15135" max="15135" width="8" style="2" customWidth="1"/>
    <col min="15136" max="15137" width="7.85546875" style="2" customWidth="1"/>
    <col min="15138" max="15139" width="7.28515625" style="2" customWidth="1"/>
    <col min="15140" max="15140" width="8" style="2" customWidth="1"/>
    <col min="15141" max="15141" width="7.85546875" style="2" customWidth="1"/>
    <col min="15142" max="15142" width="6.7109375" style="2" bestFit="1" customWidth="1"/>
    <col min="15143" max="15143" width="9.28515625" style="2" bestFit="1" customWidth="1"/>
    <col min="15144" max="15144" width="10.7109375" style="2" customWidth="1"/>
    <col min="15145" max="15145" width="9.7109375" style="2" bestFit="1" customWidth="1"/>
    <col min="15146" max="15146" width="11.85546875" style="2" bestFit="1" customWidth="1"/>
    <col min="15147" max="15147" width="10.7109375" style="2" bestFit="1" customWidth="1"/>
    <col min="15148" max="15148" width="7.28515625" style="2" bestFit="1" customWidth="1"/>
    <col min="15149" max="15149" width="9.7109375" style="2" bestFit="1" customWidth="1"/>
    <col min="15150" max="15150" width="9.140625" style="2" bestFit="1" customWidth="1"/>
    <col min="15151" max="15151" width="8.5703125" style="2" bestFit="1" customWidth="1"/>
    <col min="15152" max="15152" width="101.140625" style="2" customWidth="1"/>
    <col min="15153" max="15153" width="8.85546875" style="2" bestFit="1" customWidth="1"/>
    <col min="15154" max="15154" width="9.85546875" style="2" customWidth="1"/>
    <col min="15155" max="15155" width="4.42578125" style="2" customWidth="1"/>
    <col min="15156" max="15156" width="11.5703125" style="2" customWidth="1"/>
    <col min="15157" max="15157" width="12" style="2"/>
    <col min="15158" max="15158" width="14.42578125" style="2" bestFit="1" customWidth="1"/>
    <col min="15159" max="15159" width="10.42578125" style="2" customWidth="1"/>
    <col min="15160" max="15160" width="12.28515625" style="2" customWidth="1"/>
    <col min="15161" max="15161" width="12" style="2"/>
    <col min="15162" max="15162" width="9.42578125" style="2" customWidth="1"/>
    <col min="15163" max="15164" width="12" style="2"/>
    <col min="15165" max="15166" width="14.42578125" style="2" customWidth="1"/>
    <col min="15167" max="15167" width="14.28515625" style="2" customWidth="1"/>
    <col min="15168" max="15168" width="12.7109375" style="2" customWidth="1"/>
    <col min="15169" max="15173" width="12" style="2"/>
    <col min="15174" max="15174" width="14.28515625" style="2" bestFit="1" customWidth="1"/>
    <col min="15175" max="15360" width="12" style="2"/>
    <col min="15361" max="15361" width="8" style="2" bestFit="1" customWidth="1"/>
    <col min="15362" max="15364" width="6" style="2" customWidth="1"/>
    <col min="15365" max="15365" width="7.140625" style="2" bestFit="1" customWidth="1"/>
    <col min="15366" max="15367" width="7.140625" style="2" customWidth="1"/>
    <col min="15368" max="15370" width="8.28515625" style="2" customWidth="1"/>
    <col min="15371" max="15371" width="7.140625" style="2" bestFit="1" customWidth="1"/>
    <col min="15372" max="15372" width="6" style="2" customWidth="1"/>
    <col min="15373" max="15373" width="9.42578125" style="2" customWidth="1"/>
    <col min="15374" max="15374" width="8.140625" style="2" bestFit="1" customWidth="1"/>
    <col min="15375" max="15375" width="8.85546875" style="2" bestFit="1" customWidth="1"/>
    <col min="15376" max="15376" width="9.140625" style="2" bestFit="1" customWidth="1"/>
    <col min="15377" max="15377" width="45.140625" style="2" bestFit="1" customWidth="1"/>
    <col min="15378" max="15378" width="2.140625" style="2" customWidth="1"/>
    <col min="15379" max="15379" width="8" style="2" bestFit="1" customWidth="1"/>
    <col min="15380" max="15380" width="6.85546875" style="2" customWidth="1"/>
    <col min="15381" max="15382" width="7.42578125" style="2" customWidth="1"/>
    <col min="15383" max="15384" width="8" style="2" customWidth="1"/>
    <col min="15385" max="15385" width="7.42578125" style="2" customWidth="1"/>
    <col min="15386" max="15386" width="7.5703125" style="2" customWidth="1"/>
    <col min="15387" max="15388" width="7.42578125" style="2" customWidth="1"/>
    <col min="15389" max="15389" width="11.140625" style="2" bestFit="1" customWidth="1"/>
    <col min="15390" max="15390" width="7.7109375" style="2" customWidth="1"/>
    <col min="15391" max="15391" width="8" style="2" customWidth="1"/>
    <col min="15392" max="15393" width="7.85546875" style="2" customWidth="1"/>
    <col min="15394" max="15395" width="7.28515625" style="2" customWidth="1"/>
    <col min="15396" max="15396" width="8" style="2" customWidth="1"/>
    <col min="15397" max="15397" width="7.85546875" style="2" customWidth="1"/>
    <col min="15398" max="15398" width="6.7109375" style="2" bestFit="1" customWidth="1"/>
    <col min="15399" max="15399" width="9.28515625" style="2" bestFit="1" customWidth="1"/>
    <col min="15400" max="15400" width="10.7109375" style="2" customWidth="1"/>
    <col min="15401" max="15401" width="9.7109375" style="2" bestFit="1" customWidth="1"/>
    <col min="15402" max="15402" width="11.85546875" style="2" bestFit="1" customWidth="1"/>
    <col min="15403" max="15403" width="10.7109375" style="2" bestFit="1" customWidth="1"/>
    <col min="15404" max="15404" width="7.28515625" style="2" bestFit="1" customWidth="1"/>
    <col min="15405" max="15405" width="9.7109375" style="2" bestFit="1" customWidth="1"/>
    <col min="15406" max="15406" width="9.140625" style="2" bestFit="1" customWidth="1"/>
    <col min="15407" max="15407" width="8.5703125" style="2" bestFit="1" customWidth="1"/>
    <col min="15408" max="15408" width="101.140625" style="2" customWidth="1"/>
    <col min="15409" max="15409" width="8.85546875" style="2" bestFit="1" customWidth="1"/>
    <col min="15410" max="15410" width="9.85546875" style="2" customWidth="1"/>
    <col min="15411" max="15411" width="4.42578125" style="2" customWidth="1"/>
    <col min="15412" max="15412" width="11.5703125" style="2" customWidth="1"/>
    <col min="15413" max="15413" width="12" style="2"/>
    <col min="15414" max="15414" width="14.42578125" style="2" bestFit="1" customWidth="1"/>
    <col min="15415" max="15415" width="10.42578125" style="2" customWidth="1"/>
    <col min="15416" max="15416" width="12.28515625" style="2" customWidth="1"/>
    <col min="15417" max="15417" width="12" style="2"/>
    <col min="15418" max="15418" width="9.42578125" style="2" customWidth="1"/>
    <col min="15419" max="15420" width="12" style="2"/>
    <col min="15421" max="15422" width="14.42578125" style="2" customWidth="1"/>
    <col min="15423" max="15423" width="14.28515625" style="2" customWidth="1"/>
    <col min="15424" max="15424" width="12.7109375" style="2" customWidth="1"/>
    <col min="15425" max="15429" width="12" style="2"/>
    <col min="15430" max="15430" width="14.28515625" style="2" bestFit="1" customWidth="1"/>
    <col min="15431" max="15616" width="12" style="2"/>
    <col min="15617" max="15617" width="8" style="2" bestFit="1" customWidth="1"/>
    <col min="15618" max="15620" width="6" style="2" customWidth="1"/>
    <col min="15621" max="15621" width="7.140625" style="2" bestFit="1" customWidth="1"/>
    <col min="15622" max="15623" width="7.140625" style="2" customWidth="1"/>
    <col min="15624" max="15626" width="8.28515625" style="2" customWidth="1"/>
    <col min="15627" max="15627" width="7.140625" style="2" bestFit="1" customWidth="1"/>
    <col min="15628" max="15628" width="6" style="2" customWidth="1"/>
    <col min="15629" max="15629" width="9.42578125" style="2" customWidth="1"/>
    <col min="15630" max="15630" width="8.140625" style="2" bestFit="1" customWidth="1"/>
    <col min="15631" max="15631" width="8.85546875" style="2" bestFit="1" customWidth="1"/>
    <col min="15632" max="15632" width="9.140625" style="2" bestFit="1" customWidth="1"/>
    <col min="15633" max="15633" width="45.140625" style="2" bestFit="1" customWidth="1"/>
    <col min="15634" max="15634" width="2.140625" style="2" customWidth="1"/>
    <col min="15635" max="15635" width="8" style="2" bestFit="1" customWidth="1"/>
    <col min="15636" max="15636" width="6.85546875" style="2" customWidth="1"/>
    <col min="15637" max="15638" width="7.42578125" style="2" customWidth="1"/>
    <col min="15639" max="15640" width="8" style="2" customWidth="1"/>
    <col min="15641" max="15641" width="7.42578125" style="2" customWidth="1"/>
    <col min="15642" max="15642" width="7.5703125" style="2" customWidth="1"/>
    <col min="15643" max="15644" width="7.42578125" style="2" customWidth="1"/>
    <col min="15645" max="15645" width="11.140625" style="2" bestFit="1" customWidth="1"/>
    <col min="15646" max="15646" width="7.7109375" style="2" customWidth="1"/>
    <col min="15647" max="15647" width="8" style="2" customWidth="1"/>
    <col min="15648" max="15649" width="7.85546875" style="2" customWidth="1"/>
    <col min="15650" max="15651" width="7.28515625" style="2" customWidth="1"/>
    <col min="15652" max="15652" width="8" style="2" customWidth="1"/>
    <col min="15653" max="15653" width="7.85546875" style="2" customWidth="1"/>
    <col min="15654" max="15654" width="6.7109375" style="2" bestFit="1" customWidth="1"/>
    <col min="15655" max="15655" width="9.28515625" style="2" bestFit="1" customWidth="1"/>
    <col min="15656" max="15656" width="10.7109375" style="2" customWidth="1"/>
    <col min="15657" max="15657" width="9.7109375" style="2" bestFit="1" customWidth="1"/>
    <col min="15658" max="15658" width="11.85546875" style="2" bestFit="1" customWidth="1"/>
    <col min="15659" max="15659" width="10.7109375" style="2" bestFit="1" customWidth="1"/>
    <col min="15660" max="15660" width="7.28515625" style="2" bestFit="1" customWidth="1"/>
    <col min="15661" max="15661" width="9.7109375" style="2" bestFit="1" customWidth="1"/>
    <col min="15662" max="15662" width="9.140625" style="2" bestFit="1" customWidth="1"/>
    <col min="15663" max="15663" width="8.5703125" style="2" bestFit="1" customWidth="1"/>
    <col min="15664" max="15664" width="101.140625" style="2" customWidth="1"/>
    <col min="15665" max="15665" width="8.85546875" style="2" bestFit="1" customWidth="1"/>
    <col min="15666" max="15666" width="9.85546875" style="2" customWidth="1"/>
    <col min="15667" max="15667" width="4.42578125" style="2" customWidth="1"/>
    <col min="15668" max="15668" width="11.5703125" style="2" customWidth="1"/>
    <col min="15669" max="15669" width="12" style="2"/>
    <col min="15670" max="15670" width="14.42578125" style="2" bestFit="1" customWidth="1"/>
    <col min="15671" max="15671" width="10.42578125" style="2" customWidth="1"/>
    <col min="15672" max="15672" width="12.28515625" style="2" customWidth="1"/>
    <col min="15673" max="15673" width="12" style="2"/>
    <col min="15674" max="15674" width="9.42578125" style="2" customWidth="1"/>
    <col min="15675" max="15676" width="12" style="2"/>
    <col min="15677" max="15678" width="14.42578125" style="2" customWidth="1"/>
    <col min="15679" max="15679" width="14.28515625" style="2" customWidth="1"/>
    <col min="15680" max="15680" width="12.7109375" style="2" customWidth="1"/>
    <col min="15681" max="15685" width="12" style="2"/>
    <col min="15686" max="15686" width="14.28515625" style="2" bestFit="1" customWidth="1"/>
    <col min="15687" max="15872" width="12" style="2"/>
    <col min="15873" max="15873" width="8" style="2" bestFit="1" customWidth="1"/>
    <col min="15874" max="15876" width="6" style="2" customWidth="1"/>
    <col min="15877" max="15877" width="7.140625" style="2" bestFit="1" customWidth="1"/>
    <col min="15878" max="15879" width="7.140625" style="2" customWidth="1"/>
    <col min="15880" max="15882" width="8.28515625" style="2" customWidth="1"/>
    <col min="15883" max="15883" width="7.140625" style="2" bestFit="1" customWidth="1"/>
    <col min="15884" max="15884" width="6" style="2" customWidth="1"/>
    <col min="15885" max="15885" width="9.42578125" style="2" customWidth="1"/>
    <col min="15886" max="15886" width="8.140625" style="2" bestFit="1" customWidth="1"/>
    <col min="15887" max="15887" width="8.85546875" style="2" bestFit="1" customWidth="1"/>
    <col min="15888" max="15888" width="9.140625" style="2" bestFit="1" customWidth="1"/>
    <col min="15889" max="15889" width="45.140625" style="2" bestFit="1" customWidth="1"/>
    <col min="15890" max="15890" width="2.140625" style="2" customWidth="1"/>
    <col min="15891" max="15891" width="8" style="2" bestFit="1" customWidth="1"/>
    <col min="15892" max="15892" width="6.85546875" style="2" customWidth="1"/>
    <col min="15893" max="15894" width="7.42578125" style="2" customWidth="1"/>
    <col min="15895" max="15896" width="8" style="2" customWidth="1"/>
    <col min="15897" max="15897" width="7.42578125" style="2" customWidth="1"/>
    <col min="15898" max="15898" width="7.5703125" style="2" customWidth="1"/>
    <col min="15899" max="15900" width="7.42578125" style="2" customWidth="1"/>
    <col min="15901" max="15901" width="11.140625" style="2" bestFit="1" customWidth="1"/>
    <col min="15902" max="15902" width="7.7109375" style="2" customWidth="1"/>
    <col min="15903" max="15903" width="8" style="2" customWidth="1"/>
    <col min="15904" max="15905" width="7.85546875" style="2" customWidth="1"/>
    <col min="15906" max="15907" width="7.28515625" style="2" customWidth="1"/>
    <col min="15908" max="15908" width="8" style="2" customWidth="1"/>
    <col min="15909" max="15909" width="7.85546875" style="2" customWidth="1"/>
    <col min="15910" max="15910" width="6.7109375" style="2" bestFit="1" customWidth="1"/>
    <col min="15911" max="15911" width="9.28515625" style="2" bestFit="1" customWidth="1"/>
    <col min="15912" max="15912" width="10.7109375" style="2" customWidth="1"/>
    <col min="15913" max="15913" width="9.7109375" style="2" bestFit="1" customWidth="1"/>
    <col min="15914" max="15914" width="11.85546875" style="2" bestFit="1" customWidth="1"/>
    <col min="15915" max="15915" width="10.7109375" style="2" bestFit="1" customWidth="1"/>
    <col min="15916" max="15916" width="7.28515625" style="2" bestFit="1" customWidth="1"/>
    <col min="15917" max="15917" width="9.7109375" style="2" bestFit="1" customWidth="1"/>
    <col min="15918" max="15918" width="9.140625" style="2" bestFit="1" customWidth="1"/>
    <col min="15919" max="15919" width="8.5703125" style="2" bestFit="1" customWidth="1"/>
    <col min="15920" max="15920" width="101.140625" style="2" customWidth="1"/>
    <col min="15921" max="15921" width="8.85546875" style="2" bestFit="1" customWidth="1"/>
    <col min="15922" max="15922" width="9.85546875" style="2" customWidth="1"/>
    <col min="15923" max="15923" width="4.42578125" style="2" customWidth="1"/>
    <col min="15924" max="15924" width="11.5703125" style="2" customWidth="1"/>
    <col min="15925" max="15925" width="12" style="2"/>
    <col min="15926" max="15926" width="14.42578125" style="2" bestFit="1" customWidth="1"/>
    <col min="15927" max="15927" width="10.42578125" style="2" customWidth="1"/>
    <col min="15928" max="15928" width="12.28515625" style="2" customWidth="1"/>
    <col min="15929" max="15929" width="12" style="2"/>
    <col min="15930" max="15930" width="9.42578125" style="2" customWidth="1"/>
    <col min="15931" max="15932" width="12" style="2"/>
    <col min="15933" max="15934" width="14.42578125" style="2" customWidth="1"/>
    <col min="15935" max="15935" width="14.28515625" style="2" customWidth="1"/>
    <col min="15936" max="15936" width="12.7109375" style="2" customWidth="1"/>
    <col min="15937" max="15941" width="12" style="2"/>
    <col min="15942" max="15942" width="14.28515625" style="2" bestFit="1" customWidth="1"/>
    <col min="15943" max="16128" width="12" style="2"/>
    <col min="16129" max="16129" width="8" style="2" bestFit="1" customWidth="1"/>
    <col min="16130" max="16132" width="6" style="2" customWidth="1"/>
    <col min="16133" max="16133" width="7.140625" style="2" bestFit="1" customWidth="1"/>
    <col min="16134" max="16135" width="7.140625" style="2" customWidth="1"/>
    <col min="16136" max="16138" width="8.28515625" style="2" customWidth="1"/>
    <col min="16139" max="16139" width="7.140625" style="2" bestFit="1" customWidth="1"/>
    <col min="16140" max="16140" width="6" style="2" customWidth="1"/>
    <col min="16141" max="16141" width="9.42578125" style="2" customWidth="1"/>
    <col min="16142" max="16142" width="8.140625" style="2" bestFit="1" customWidth="1"/>
    <col min="16143" max="16143" width="8.85546875" style="2" bestFit="1" customWidth="1"/>
    <col min="16144" max="16144" width="9.140625" style="2" bestFit="1" customWidth="1"/>
    <col min="16145" max="16145" width="45.140625" style="2" bestFit="1" customWidth="1"/>
    <col min="16146" max="16146" width="2.140625" style="2" customWidth="1"/>
    <col min="16147" max="16147" width="8" style="2" bestFit="1" customWidth="1"/>
    <col min="16148" max="16148" width="6.85546875" style="2" customWidth="1"/>
    <col min="16149" max="16150" width="7.42578125" style="2" customWidth="1"/>
    <col min="16151" max="16152" width="8" style="2" customWidth="1"/>
    <col min="16153" max="16153" width="7.42578125" style="2" customWidth="1"/>
    <col min="16154" max="16154" width="7.5703125" style="2" customWidth="1"/>
    <col min="16155" max="16156" width="7.42578125" style="2" customWidth="1"/>
    <col min="16157" max="16157" width="11.140625" style="2" bestFit="1" customWidth="1"/>
    <col min="16158" max="16158" width="7.7109375" style="2" customWidth="1"/>
    <col min="16159" max="16159" width="8" style="2" customWidth="1"/>
    <col min="16160" max="16161" width="7.85546875" style="2" customWidth="1"/>
    <col min="16162" max="16163" width="7.28515625" style="2" customWidth="1"/>
    <col min="16164" max="16164" width="8" style="2" customWidth="1"/>
    <col min="16165" max="16165" width="7.85546875" style="2" customWidth="1"/>
    <col min="16166" max="16166" width="6.7109375" style="2" bestFit="1" customWidth="1"/>
    <col min="16167" max="16167" width="9.28515625" style="2" bestFit="1" customWidth="1"/>
    <col min="16168" max="16168" width="10.7109375" style="2" customWidth="1"/>
    <col min="16169" max="16169" width="9.7109375" style="2" bestFit="1" customWidth="1"/>
    <col min="16170" max="16170" width="11.85546875" style="2" bestFit="1" customWidth="1"/>
    <col min="16171" max="16171" width="10.7109375" style="2" bestFit="1" customWidth="1"/>
    <col min="16172" max="16172" width="7.28515625" style="2" bestFit="1" customWidth="1"/>
    <col min="16173" max="16173" width="9.7109375" style="2" bestFit="1" customWidth="1"/>
    <col min="16174" max="16174" width="9.140625" style="2" bestFit="1" customWidth="1"/>
    <col min="16175" max="16175" width="8.5703125" style="2" bestFit="1" customWidth="1"/>
    <col min="16176" max="16176" width="101.140625" style="2" customWidth="1"/>
    <col min="16177" max="16177" width="8.85546875" style="2" bestFit="1" customWidth="1"/>
    <col min="16178" max="16178" width="9.85546875" style="2" customWidth="1"/>
    <col min="16179" max="16179" width="4.42578125" style="2" customWidth="1"/>
    <col min="16180" max="16180" width="11.5703125" style="2" customWidth="1"/>
    <col min="16181" max="16181" width="12" style="2"/>
    <col min="16182" max="16182" width="14.42578125" style="2" bestFit="1" customWidth="1"/>
    <col min="16183" max="16183" width="10.42578125" style="2" customWidth="1"/>
    <col min="16184" max="16184" width="12.28515625" style="2" customWidth="1"/>
    <col min="16185" max="16185" width="12" style="2"/>
    <col min="16186" max="16186" width="9.42578125" style="2" customWidth="1"/>
    <col min="16187" max="16188" width="12" style="2"/>
    <col min="16189" max="16190" width="14.42578125" style="2" customWidth="1"/>
    <col min="16191" max="16191" width="14.28515625" style="2" customWidth="1"/>
    <col min="16192" max="16192" width="12.7109375" style="2" customWidth="1"/>
    <col min="16193" max="16197" width="12" style="2"/>
    <col min="16198" max="16198" width="14.28515625" style="2" bestFit="1" customWidth="1"/>
    <col min="16199" max="16384" width="12" style="2"/>
  </cols>
  <sheetData>
    <row r="1" spans="1:65" ht="13.5" thickBot="1" x14ac:dyDescent="0.25"/>
    <row r="2" spans="1:65" s="10" customFormat="1" ht="21" thickBot="1" x14ac:dyDescent="0.25">
      <c r="A2" s="4"/>
      <c r="B2" s="5">
        <v>1</v>
      </c>
      <c r="C2" s="5">
        <v>1</v>
      </c>
      <c r="D2" s="5">
        <v>1</v>
      </c>
      <c r="E2" s="6">
        <v>2</v>
      </c>
      <c r="F2" s="7">
        <v>2</v>
      </c>
      <c r="G2" s="5">
        <v>3</v>
      </c>
      <c r="H2" s="8">
        <v>4</v>
      </c>
      <c r="I2" s="6">
        <v>4</v>
      </c>
      <c r="J2" s="7">
        <v>4</v>
      </c>
      <c r="K2" s="9">
        <v>5</v>
      </c>
      <c r="T2" s="11">
        <v>1</v>
      </c>
      <c r="U2" s="12"/>
      <c r="V2" s="5">
        <v>1</v>
      </c>
      <c r="W2" s="5">
        <v>1</v>
      </c>
      <c r="X2" s="5">
        <v>1</v>
      </c>
      <c r="Y2" s="6">
        <v>2</v>
      </c>
      <c r="Z2" s="6">
        <v>2</v>
      </c>
      <c r="AA2" s="6">
        <v>2</v>
      </c>
      <c r="AB2" s="6">
        <v>2</v>
      </c>
      <c r="AC2" s="6">
        <v>2</v>
      </c>
      <c r="AD2" s="5">
        <v>3</v>
      </c>
      <c r="AE2" s="6">
        <v>4</v>
      </c>
      <c r="AF2" s="6">
        <v>4</v>
      </c>
      <c r="AG2" s="6">
        <v>4</v>
      </c>
      <c r="AH2" s="6">
        <v>4</v>
      </c>
      <c r="AI2" s="11">
        <v>5</v>
      </c>
      <c r="AJ2" s="12"/>
      <c r="AK2" s="5">
        <v>5</v>
      </c>
    </row>
    <row r="3" spans="1:65" s="44" customFormat="1" x14ac:dyDescent="0.2">
      <c r="A3" s="13" t="s">
        <v>0</v>
      </c>
      <c r="B3" s="14" t="s">
        <v>1</v>
      </c>
      <c r="C3" s="14" t="s">
        <v>2</v>
      </c>
      <c r="D3" s="14" t="s">
        <v>3</v>
      </c>
      <c r="E3" s="15" t="s">
        <v>4</v>
      </c>
      <c r="F3" s="16" t="s">
        <v>5</v>
      </c>
      <c r="G3" s="14" t="s">
        <v>6</v>
      </c>
      <c r="H3" s="17" t="s">
        <v>7</v>
      </c>
      <c r="I3" s="18" t="s">
        <v>8</v>
      </c>
      <c r="J3" s="19" t="s">
        <v>9</v>
      </c>
      <c r="K3" s="20" t="s">
        <v>10</v>
      </c>
      <c r="L3" s="21" t="s">
        <v>11</v>
      </c>
      <c r="M3" s="22" t="s">
        <v>12</v>
      </c>
      <c r="N3" s="23" t="s">
        <v>12</v>
      </c>
      <c r="O3" s="23" t="s">
        <v>13</v>
      </c>
      <c r="P3" s="23" t="s">
        <v>14</v>
      </c>
      <c r="Q3" s="23" t="s">
        <v>15</v>
      </c>
      <c r="R3" s="24"/>
      <c r="S3" s="25" t="s">
        <v>0</v>
      </c>
      <c r="T3" s="26" t="s">
        <v>16</v>
      </c>
      <c r="U3" s="27"/>
      <c r="V3" s="28" t="s">
        <v>1</v>
      </c>
      <c r="W3" s="14" t="s">
        <v>2</v>
      </c>
      <c r="X3" s="14" t="s">
        <v>3</v>
      </c>
      <c r="Y3" s="15" t="s">
        <v>4</v>
      </c>
      <c r="Z3" s="16" t="s">
        <v>17</v>
      </c>
      <c r="AA3" s="29" t="s">
        <v>5</v>
      </c>
      <c r="AB3" s="29" t="s">
        <v>18</v>
      </c>
      <c r="AC3" s="30" t="s">
        <v>19</v>
      </c>
      <c r="AD3" s="14" t="s">
        <v>6</v>
      </c>
      <c r="AE3" s="15" t="s">
        <v>7</v>
      </c>
      <c r="AF3" s="31" t="s">
        <v>8</v>
      </c>
      <c r="AG3" s="32" t="s">
        <v>9</v>
      </c>
      <c r="AH3" s="30" t="s">
        <v>20</v>
      </c>
      <c r="AI3" s="26" t="s">
        <v>10</v>
      </c>
      <c r="AJ3" s="27"/>
      <c r="AK3" s="33" t="s">
        <v>21</v>
      </c>
      <c r="AL3" s="34" t="s">
        <v>11</v>
      </c>
      <c r="AM3" s="35" t="s">
        <v>22</v>
      </c>
      <c r="AN3" s="36" t="s">
        <v>23</v>
      </c>
      <c r="AO3" s="37"/>
      <c r="AP3" s="38" t="s">
        <v>24</v>
      </c>
      <c r="AQ3" s="39"/>
      <c r="AR3" s="40" t="s">
        <v>25</v>
      </c>
      <c r="AS3" s="36" t="s">
        <v>26</v>
      </c>
      <c r="AT3" s="37"/>
      <c r="AU3" s="41" t="s">
        <v>27</v>
      </c>
      <c r="AV3" s="42" t="s">
        <v>15</v>
      </c>
      <c r="AW3" s="35" t="s">
        <v>28</v>
      </c>
      <c r="AX3" s="34" t="s">
        <v>29</v>
      </c>
      <c r="AY3" s="43" t="s">
        <v>30</v>
      </c>
      <c r="BA3" s="45"/>
      <c r="BB3" s="46" t="s">
        <v>31</v>
      </c>
      <c r="BC3" s="46"/>
      <c r="BD3" s="46"/>
      <c r="BE3" s="46"/>
    </row>
    <row r="4" spans="1:65" s="44" customFormat="1" ht="13.5" thickBot="1" x14ac:dyDescent="0.25">
      <c r="A4" s="47"/>
      <c r="B4" s="48"/>
      <c r="C4" s="48" t="s">
        <v>32</v>
      </c>
      <c r="D4" s="48" t="s">
        <v>33</v>
      </c>
      <c r="E4" s="49" t="s">
        <v>33</v>
      </c>
      <c r="F4" s="50" t="s">
        <v>34</v>
      </c>
      <c r="G4" s="51" t="s">
        <v>32</v>
      </c>
      <c r="H4" s="52" t="s">
        <v>33</v>
      </c>
      <c r="I4" s="49" t="s">
        <v>33</v>
      </c>
      <c r="J4" s="53" t="s">
        <v>33</v>
      </c>
      <c r="K4" s="51" t="s">
        <v>35</v>
      </c>
      <c r="L4" s="54"/>
      <c r="M4" s="55" t="s">
        <v>36</v>
      </c>
      <c r="N4" s="56" t="s">
        <v>37</v>
      </c>
      <c r="O4" s="56" t="s">
        <v>38</v>
      </c>
      <c r="P4" s="56" t="s">
        <v>39</v>
      </c>
      <c r="Q4" s="56"/>
      <c r="R4" s="24"/>
      <c r="S4" s="57"/>
      <c r="T4" s="58" t="s">
        <v>35</v>
      </c>
      <c r="U4" s="59"/>
      <c r="V4" s="60"/>
      <c r="W4" s="48" t="s">
        <v>40</v>
      </c>
      <c r="X4" s="48" t="s">
        <v>33</v>
      </c>
      <c r="Y4" s="49" t="s">
        <v>33</v>
      </c>
      <c r="Z4" s="50" t="s">
        <v>41</v>
      </c>
      <c r="AA4" s="61" t="s">
        <v>34</v>
      </c>
      <c r="AB4" s="62"/>
      <c r="AC4" s="63" t="s">
        <v>32</v>
      </c>
      <c r="AD4" s="64" t="s">
        <v>32</v>
      </c>
      <c r="AE4" s="49" t="s">
        <v>33</v>
      </c>
      <c r="AF4" s="65" t="s">
        <v>33</v>
      </c>
      <c r="AG4" s="66" t="s">
        <v>33</v>
      </c>
      <c r="AH4" s="63" t="s">
        <v>32</v>
      </c>
      <c r="AI4" s="67" t="s">
        <v>35</v>
      </c>
      <c r="AJ4" s="68"/>
      <c r="AK4" s="69" t="s">
        <v>42</v>
      </c>
      <c r="AL4" s="70"/>
      <c r="AM4" s="71"/>
      <c r="AN4" s="72" t="s">
        <v>43</v>
      </c>
      <c r="AO4" s="73" t="s">
        <v>44</v>
      </c>
      <c r="AP4" s="74" t="s">
        <v>45</v>
      </c>
      <c r="AQ4" s="75" t="s">
        <v>46</v>
      </c>
      <c r="AR4" s="76"/>
      <c r="AS4" s="72" t="s">
        <v>47</v>
      </c>
      <c r="AT4" s="73" t="s">
        <v>30</v>
      </c>
      <c r="AU4" s="77"/>
      <c r="AV4" s="78"/>
      <c r="AW4" s="71" t="s">
        <v>33</v>
      </c>
      <c r="AX4" s="79"/>
      <c r="AY4" s="43"/>
      <c r="BA4" s="80"/>
      <c r="BB4" s="46" t="s">
        <v>48</v>
      </c>
      <c r="BC4" s="46"/>
      <c r="BD4" s="46"/>
      <c r="BE4" s="46"/>
    </row>
    <row r="5" spans="1:65" s="95" customFormat="1" x14ac:dyDescent="0.2">
      <c r="A5" s="81" t="s">
        <v>49</v>
      </c>
      <c r="B5" s="82"/>
      <c r="C5" s="83"/>
      <c r="D5" s="84"/>
      <c r="E5" s="85"/>
      <c r="F5" s="86"/>
      <c r="G5" s="87"/>
      <c r="H5" s="88"/>
      <c r="I5" s="89"/>
      <c r="J5" s="86"/>
      <c r="K5" s="90"/>
      <c r="L5" s="91"/>
      <c r="M5" s="92"/>
      <c r="N5" s="91"/>
      <c r="O5" s="93"/>
      <c r="P5" s="93"/>
      <c r="Q5" s="94"/>
      <c r="S5" s="96" t="s">
        <v>49</v>
      </c>
      <c r="T5" s="82"/>
      <c r="U5" s="97"/>
      <c r="V5" s="97"/>
      <c r="W5" s="97"/>
      <c r="X5" s="98"/>
      <c r="Y5" s="88"/>
      <c r="Z5" s="89"/>
      <c r="AA5" s="89"/>
      <c r="AB5" s="89"/>
      <c r="AC5" s="86"/>
      <c r="AD5" s="83"/>
      <c r="AE5" s="88"/>
      <c r="AF5" s="89"/>
      <c r="AG5" s="89"/>
      <c r="AH5" s="86"/>
      <c r="AI5" s="99"/>
      <c r="AJ5" s="84"/>
      <c r="AK5" s="100"/>
      <c r="AL5" s="101"/>
      <c r="AM5" s="102"/>
      <c r="AN5" s="103"/>
      <c r="AO5" s="104"/>
      <c r="AP5" s="105"/>
      <c r="AQ5" s="106"/>
      <c r="AR5" s="107"/>
      <c r="AS5" s="103"/>
      <c r="AT5" s="104"/>
      <c r="AU5" s="108">
        <f t="shared" ref="AU5:AU48" si="0">SUM(T5:AT5)</f>
        <v>0</v>
      </c>
      <c r="AV5" s="109"/>
      <c r="AW5" s="106">
        <v>-15000</v>
      </c>
      <c r="AX5" s="110"/>
      <c r="AY5" s="111"/>
      <c r="BA5" s="112"/>
      <c r="BB5" s="113" t="s">
        <v>50</v>
      </c>
      <c r="BC5" s="113"/>
      <c r="BD5" s="113"/>
      <c r="BE5" s="113"/>
    </row>
    <row r="6" spans="1:65" s="95" customFormat="1" x14ac:dyDescent="0.2">
      <c r="A6" s="114" t="s">
        <v>51</v>
      </c>
      <c r="B6" s="115"/>
      <c r="C6" s="116"/>
      <c r="D6" s="117"/>
      <c r="E6" s="118"/>
      <c r="F6" s="119"/>
      <c r="G6" s="116"/>
      <c r="H6" s="120"/>
      <c r="I6" s="121"/>
      <c r="J6" s="119"/>
      <c r="K6" s="90"/>
      <c r="L6" s="91"/>
      <c r="M6" s="122"/>
      <c r="N6" s="91"/>
      <c r="O6" s="93"/>
      <c r="P6" s="93"/>
      <c r="Q6" s="94"/>
      <c r="S6" s="114" t="s">
        <v>51</v>
      </c>
      <c r="T6" s="115"/>
      <c r="U6" s="123"/>
      <c r="V6" s="123"/>
      <c r="W6" s="123"/>
      <c r="X6" s="124"/>
      <c r="Y6" s="120"/>
      <c r="Z6" s="121"/>
      <c r="AA6" s="121"/>
      <c r="AB6" s="121"/>
      <c r="AC6" s="119"/>
      <c r="AD6" s="87"/>
      <c r="AE6" s="120"/>
      <c r="AF6" s="121"/>
      <c r="AG6" s="121"/>
      <c r="AH6" s="119"/>
      <c r="AI6" s="125"/>
      <c r="AJ6" s="126"/>
      <c r="AK6" s="90"/>
      <c r="AL6" s="127"/>
      <c r="AM6" s="93"/>
      <c r="AN6" s="128"/>
      <c r="AO6" s="129"/>
      <c r="AP6" s="130"/>
      <c r="AQ6" s="131"/>
      <c r="AR6" s="107"/>
      <c r="AS6" s="128">
        <v>-1163.5999999999999</v>
      </c>
      <c r="AT6" s="129"/>
      <c r="AU6" s="108">
        <f t="shared" si="0"/>
        <v>-1163.5999999999999</v>
      </c>
      <c r="AV6" s="109"/>
      <c r="AW6" s="132">
        <v>-2500</v>
      </c>
      <c r="AX6" s="133"/>
      <c r="AY6" s="134">
        <v>2</v>
      </c>
    </row>
    <row r="7" spans="1:65" s="95" customFormat="1" x14ac:dyDescent="0.2">
      <c r="A7" s="114" t="s">
        <v>52</v>
      </c>
      <c r="B7" s="115"/>
      <c r="C7" s="116"/>
      <c r="D7" s="117"/>
      <c r="E7" s="118"/>
      <c r="F7" s="119"/>
      <c r="G7" s="116"/>
      <c r="H7" s="120"/>
      <c r="I7" s="121"/>
      <c r="J7" s="119"/>
      <c r="K7" s="135"/>
      <c r="L7" s="136"/>
      <c r="M7" s="122"/>
      <c r="N7" s="136"/>
      <c r="O7" s="137"/>
      <c r="P7" s="137"/>
      <c r="Q7" s="138"/>
      <c r="S7" s="114" t="s">
        <v>52</v>
      </c>
      <c r="T7" s="115"/>
      <c r="U7" s="123"/>
      <c r="V7" s="123"/>
      <c r="W7" s="123"/>
      <c r="X7" s="124"/>
      <c r="Y7" s="120"/>
      <c r="Z7" s="121"/>
      <c r="AA7" s="121"/>
      <c r="AB7" s="121"/>
      <c r="AC7" s="119"/>
      <c r="AD7" s="87"/>
      <c r="AE7" s="120"/>
      <c r="AF7" s="121"/>
      <c r="AG7" s="121"/>
      <c r="AH7" s="119"/>
      <c r="AI7" s="125"/>
      <c r="AJ7" s="126"/>
      <c r="AK7" s="90"/>
      <c r="AL7" s="127"/>
      <c r="AM7" s="93"/>
      <c r="AN7" s="128"/>
      <c r="AO7" s="129"/>
      <c r="AP7" s="130"/>
      <c r="AQ7" s="131"/>
      <c r="AR7" s="107"/>
      <c r="AS7" s="128"/>
      <c r="AT7" s="129"/>
      <c r="AU7" s="108">
        <f t="shared" si="0"/>
        <v>0</v>
      </c>
      <c r="AV7" s="109"/>
      <c r="AW7" s="132">
        <v>-18100</v>
      </c>
      <c r="AX7" s="133"/>
      <c r="AY7" s="111"/>
    </row>
    <row r="8" spans="1:65" s="95" customFormat="1" x14ac:dyDescent="0.2">
      <c r="A8" s="139" t="s">
        <v>53</v>
      </c>
      <c r="B8" s="115"/>
      <c r="C8" s="116"/>
      <c r="D8" s="117"/>
      <c r="E8" s="140">
        <v>2675</v>
      </c>
      <c r="F8" s="119"/>
      <c r="G8" s="141"/>
      <c r="H8" s="142">
        <v>2675</v>
      </c>
      <c r="I8" s="121"/>
      <c r="J8" s="119"/>
      <c r="K8" s="143"/>
      <c r="L8" s="141"/>
      <c r="M8" s="122">
        <f t="shared" ref="M8:M53" si="1">SUM(B8:L8)</f>
        <v>5350</v>
      </c>
      <c r="N8" s="141">
        <v>4400</v>
      </c>
      <c r="O8" s="144">
        <f>M8-N8</f>
        <v>950</v>
      </c>
      <c r="P8" s="144">
        <f>O8</f>
        <v>950</v>
      </c>
      <c r="Q8" s="145"/>
      <c r="S8" s="146" t="s">
        <v>53</v>
      </c>
      <c r="T8" s="147">
        <v>1220</v>
      </c>
      <c r="U8" s="148">
        <v>1455</v>
      </c>
      <c r="V8" s="123"/>
      <c r="W8" s="123"/>
      <c r="X8" s="124"/>
      <c r="Y8" s="149">
        <v>0</v>
      </c>
      <c r="Z8" s="121"/>
      <c r="AA8" s="121"/>
      <c r="AB8" s="121"/>
      <c r="AC8" s="119"/>
      <c r="AD8" s="150">
        <v>2675</v>
      </c>
      <c r="AE8" s="149">
        <v>0</v>
      </c>
      <c r="AF8" s="121"/>
      <c r="AG8" s="121"/>
      <c r="AH8" s="119"/>
      <c r="AI8" s="151">
        <v>1220</v>
      </c>
      <c r="AJ8" s="152">
        <v>1280</v>
      </c>
      <c r="AK8" s="90"/>
      <c r="AL8" s="153"/>
      <c r="AM8" s="154"/>
      <c r="AN8" s="155"/>
      <c r="AO8" s="156"/>
      <c r="AP8" s="157">
        <v>-1149.03</v>
      </c>
      <c r="AQ8" s="158">
        <v>1085</v>
      </c>
      <c r="AR8" s="153"/>
      <c r="AS8" s="155">
        <v>-1147.8499999999999</v>
      </c>
      <c r="AT8" s="156">
        <v>574</v>
      </c>
      <c r="AU8" s="108">
        <f t="shared" si="0"/>
        <v>7212.1200000000008</v>
      </c>
      <c r="AV8" s="159"/>
      <c r="AW8" s="154">
        <v>-5000</v>
      </c>
      <c r="AX8" s="160">
        <v>12000</v>
      </c>
      <c r="AY8" s="134">
        <v>3</v>
      </c>
    </row>
    <row r="9" spans="1:65" s="95" customFormat="1" x14ac:dyDescent="0.2">
      <c r="A9" s="161" t="s">
        <v>54</v>
      </c>
      <c r="B9" s="115"/>
      <c r="C9" s="116"/>
      <c r="D9" s="117"/>
      <c r="E9" s="140">
        <v>2675</v>
      </c>
      <c r="F9" s="119"/>
      <c r="G9" s="162"/>
      <c r="H9" s="142">
        <v>2675</v>
      </c>
      <c r="I9" s="121"/>
      <c r="J9" s="119"/>
      <c r="K9" s="163"/>
      <c r="L9" s="162"/>
      <c r="M9" s="122">
        <f t="shared" si="1"/>
        <v>5350</v>
      </c>
      <c r="N9" s="162">
        <v>4400</v>
      </c>
      <c r="O9" s="164">
        <f t="shared" ref="O9:O44" si="2">M9-N9</f>
        <v>950</v>
      </c>
      <c r="P9" s="164">
        <f t="shared" ref="P9:P45" si="3">O9+P8</f>
        <v>1900</v>
      </c>
      <c r="Q9" s="165"/>
      <c r="S9" s="161" t="s">
        <v>54</v>
      </c>
      <c r="T9" s="142">
        <v>1220</v>
      </c>
      <c r="U9" s="166">
        <v>1455</v>
      </c>
      <c r="V9" s="123"/>
      <c r="W9" s="123"/>
      <c r="X9" s="124"/>
      <c r="Y9" s="149">
        <v>0</v>
      </c>
      <c r="Z9" s="121"/>
      <c r="AA9" s="121"/>
      <c r="AB9" s="121"/>
      <c r="AC9" s="119"/>
      <c r="AD9" s="141">
        <v>2675</v>
      </c>
      <c r="AE9" s="149">
        <v>0</v>
      </c>
      <c r="AF9" s="121"/>
      <c r="AG9" s="121"/>
      <c r="AH9" s="119"/>
      <c r="AI9" s="140">
        <v>1220</v>
      </c>
      <c r="AJ9" s="167">
        <v>1280</v>
      </c>
      <c r="AK9" s="90"/>
      <c r="AL9" s="143"/>
      <c r="AM9" s="164"/>
      <c r="AN9" s="168">
        <v>-957.4</v>
      </c>
      <c r="AO9" s="169"/>
      <c r="AP9" s="170"/>
      <c r="AQ9" s="171"/>
      <c r="AR9" s="143"/>
      <c r="AS9" s="168"/>
      <c r="AT9" s="169"/>
      <c r="AU9" s="108">
        <f t="shared" si="0"/>
        <v>6892.6</v>
      </c>
      <c r="AV9" s="172"/>
      <c r="AW9" s="144">
        <v>-5000</v>
      </c>
      <c r="AX9" s="160">
        <v>12000</v>
      </c>
      <c r="AY9" s="111"/>
      <c r="AZ9" s="173"/>
      <c r="BA9" s="173"/>
      <c r="BH9" s="174"/>
      <c r="BI9" s="174"/>
      <c r="BJ9" s="174"/>
      <c r="BK9" s="174"/>
      <c r="BL9" s="174"/>
      <c r="BM9" s="174"/>
    </row>
    <row r="10" spans="1:65" s="95" customFormat="1" x14ac:dyDescent="0.2">
      <c r="A10" s="161" t="s">
        <v>55</v>
      </c>
      <c r="B10" s="115"/>
      <c r="C10" s="116"/>
      <c r="D10" s="117"/>
      <c r="E10" s="140">
        <v>2675</v>
      </c>
      <c r="F10" s="119"/>
      <c r="G10" s="162"/>
      <c r="H10" s="142">
        <v>2675</v>
      </c>
      <c r="I10" s="121"/>
      <c r="J10" s="119"/>
      <c r="K10" s="163"/>
      <c r="L10" s="162"/>
      <c r="M10" s="122">
        <f t="shared" si="1"/>
        <v>5350</v>
      </c>
      <c r="N10" s="162">
        <v>4400</v>
      </c>
      <c r="O10" s="164">
        <f t="shared" si="2"/>
        <v>950</v>
      </c>
      <c r="P10" s="164">
        <f t="shared" si="3"/>
        <v>2850</v>
      </c>
      <c r="Q10" s="165"/>
      <c r="S10" s="175" t="s">
        <v>55</v>
      </c>
      <c r="T10" s="147">
        <v>1220</v>
      </c>
      <c r="U10" s="148">
        <v>1455</v>
      </c>
      <c r="V10" s="123"/>
      <c r="W10" s="123"/>
      <c r="X10" s="124"/>
      <c r="Y10" s="149">
        <v>0</v>
      </c>
      <c r="Z10" s="121"/>
      <c r="AA10" s="121"/>
      <c r="AB10" s="121"/>
      <c r="AC10" s="119"/>
      <c r="AD10" s="150">
        <v>2675</v>
      </c>
      <c r="AE10" s="149">
        <v>0</v>
      </c>
      <c r="AF10" s="121"/>
      <c r="AG10" s="121"/>
      <c r="AH10" s="119"/>
      <c r="AI10" s="151">
        <v>1220</v>
      </c>
      <c r="AJ10" s="152">
        <v>1280</v>
      </c>
      <c r="AK10" s="90"/>
      <c r="AL10" s="153"/>
      <c r="AM10" s="176"/>
      <c r="AN10" s="155"/>
      <c r="AO10" s="156"/>
      <c r="AP10" s="157">
        <v>-1535.4</v>
      </c>
      <c r="AQ10" s="158">
        <v>1703.1</v>
      </c>
      <c r="AR10" s="153"/>
      <c r="AS10" s="155">
        <v>-1136.98</v>
      </c>
      <c r="AT10" s="156">
        <v>1120</v>
      </c>
      <c r="AU10" s="108">
        <f t="shared" si="0"/>
        <v>8000.7200000000012</v>
      </c>
      <c r="AV10" s="177"/>
      <c r="AW10" s="154">
        <v>-5000</v>
      </c>
      <c r="AX10" s="160">
        <v>12000</v>
      </c>
      <c r="AY10" s="134">
        <v>4</v>
      </c>
      <c r="BA10" s="173"/>
      <c r="BH10" s="174"/>
      <c r="BI10" s="174"/>
      <c r="BJ10" s="174"/>
      <c r="BK10" s="174"/>
    </row>
    <row r="11" spans="1:65" s="95" customFormat="1" x14ac:dyDescent="0.2">
      <c r="A11" s="161" t="s">
        <v>56</v>
      </c>
      <c r="B11" s="115"/>
      <c r="C11" s="116"/>
      <c r="D11" s="117"/>
      <c r="E11" s="140">
        <v>2675</v>
      </c>
      <c r="F11" s="119"/>
      <c r="G11" s="162"/>
      <c r="H11" s="142">
        <v>2675</v>
      </c>
      <c r="I11" s="121"/>
      <c r="J11" s="119"/>
      <c r="K11" s="163"/>
      <c r="L11" s="162"/>
      <c r="M11" s="122">
        <f t="shared" si="1"/>
        <v>5350</v>
      </c>
      <c r="N11" s="162">
        <v>4400</v>
      </c>
      <c r="O11" s="164">
        <f t="shared" si="2"/>
        <v>950</v>
      </c>
      <c r="P11" s="164">
        <f t="shared" si="3"/>
        <v>3800</v>
      </c>
      <c r="Q11" s="165"/>
      <c r="S11" s="161" t="s">
        <v>56</v>
      </c>
      <c r="T11" s="142">
        <v>1220</v>
      </c>
      <c r="U11" s="166">
        <v>1455</v>
      </c>
      <c r="V11" s="123"/>
      <c r="W11" s="123"/>
      <c r="X11" s="124"/>
      <c r="Y11" s="149">
        <v>0</v>
      </c>
      <c r="Z11" s="121"/>
      <c r="AA11" s="121"/>
      <c r="AB11" s="121"/>
      <c r="AC11" s="119"/>
      <c r="AD11" s="141">
        <v>2675</v>
      </c>
      <c r="AE11" s="149">
        <v>0</v>
      </c>
      <c r="AF11" s="121"/>
      <c r="AG11" s="121"/>
      <c r="AH11" s="119"/>
      <c r="AI11" s="140">
        <v>1220</v>
      </c>
      <c r="AJ11" s="167">
        <v>1280</v>
      </c>
      <c r="AK11" s="90"/>
      <c r="AL11" s="143"/>
      <c r="AM11" s="164"/>
      <c r="AN11" s="168">
        <v>-1040.5999999999999</v>
      </c>
      <c r="AO11" s="169">
        <v>-279</v>
      </c>
      <c r="AP11" s="170"/>
      <c r="AQ11" s="171"/>
      <c r="AR11" s="143"/>
      <c r="AS11" s="168"/>
      <c r="AT11" s="169"/>
      <c r="AU11" s="108">
        <f t="shared" si="0"/>
        <v>6530.4</v>
      </c>
      <c r="AV11" s="172"/>
      <c r="AW11" s="144">
        <v>-5000</v>
      </c>
      <c r="AX11" s="160">
        <v>12000</v>
      </c>
      <c r="AY11" s="111"/>
      <c r="BA11" s="173"/>
      <c r="BH11" s="174"/>
      <c r="BI11" s="174"/>
      <c r="BJ11" s="174"/>
      <c r="BK11" s="174"/>
    </row>
    <row r="12" spans="1:65" s="95" customFormat="1" x14ac:dyDescent="0.2">
      <c r="A12" s="161" t="s">
        <v>57</v>
      </c>
      <c r="B12" s="115"/>
      <c r="C12" s="116"/>
      <c r="D12" s="117"/>
      <c r="E12" s="140">
        <v>2675</v>
      </c>
      <c r="F12" s="119"/>
      <c r="G12" s="162"/>
      <c r="H12" s="142">
        <v>2675</v>
      </c>
      <c r="I12" s="121"/>
      <c r="J12" s="119"/>
      <c r="K12" s="163"/>
      <c r="L12" s="162"/>
      <c r="M12" s="122">
        <f t="shared" si="1"/>
        <v>5350</v>
      </c>
      <c r="N12" s="162">
        <v>4400</v>
      </c>
      <c r="O12" s="164">
        <f t="shared" si="2"/>
        <v>950</v>
      </c>
      <c r="P12" s="164">
        <f t="shared" si="3"/>
        <v>4750</v>
      </c>
      <c r="Q12" s="165"/>
      <c r="S12" s="175" t="s">
        <v>57</v>
      </c>
      <c r="T12" s="147">
        <v>1220</v>
      </c>
      <c r="U12" s="148">
        <v>1455</v>
      </c>
      <c r="V12" s="123"/>
      <c r="W12" s="123"/>
      <c r="X12" s="124"/>
      <c r="Y12" s="149">
        <v>0</v>
      </c>
      <c r="Z12" s="121"/>
      <c r="AA12" s="121"/>
      <c r="AB12" s="121"/>
      <c r="AC12" s="119"/>
      <c r="AD12" s="150">
        <v>2675</v>
      </c>
      <c r="AE12" s="149">
        <v>0</v>
      </c>
      <c r="AF12" s="121"/>
      <c r="AG12" s="121"/>
      <c r="AH12" s="119"/>
      <c r="AI12" s="151">
        <v>1220</v>
      </c>
      <c r="AJ12" s="152">
        <v>1280</v>
      </c>
      <c r="AK12" s="90"/>
      <c r="AL12" s="153"/>
      <c r="AM12" s="176"/>
      <c r="AN12" s="155"/>
      <c r="AO12" s="156"/>
      <c r="AP12" s="157">
        <v>-2615.3000000000002</v>
      </c>
      <c r="AQ12" s="158">
        <v>2652.3</v>
      </c>
      <c r="AR12" s="153"/>
      <c r="AS12" s="155">
        <v>-1260.3699999999999</v>
      </c>
      <c r="AT12" s="156">
        <v>1288</v>
      </c>
      <c r="AU12" s="108">
        <f t="shared" si="0"/>
        <v>7914.63</v>
      </c>
      <c r="AV12" s="177"/>
      <c r="AW12" s="154">
        <v>-5000</v>
      </c>
      <c r="AX12" s="160">
        <v>12000</v>
      </c>
      <c r="AY12" s="134">
        <v>5</v>
      </c>
      <c r="AZ12" s="173"/>
      <c r="BA12" s="173"/>
      <c r="BH12" s="174"/>
      <c r="BI12" s="174"/>
      <c r="BJ12" s="174"/>
      <c r="BK12" s="174"/>
      <c r="BL12" s="174"/>
      <c r="BM12" s="174"/>
    </row>
    <row r="13" spans="1:65" s="95" customFormat="1" x14ac:dyDescent="0.2">
      <c r="A13" s="161" t="s">
        <v>58</v>
      </c>
      <c r="B13" s="115"/>
      <c r="C13" s="116"/>
      <c r="D13" s="117"/>
      <c r="E13" s="140">
        <v>2675</v>
      </c>
      <c r="F13" s="119"/>
      <c r="G13" s="162"/>
      <c r="H13" s="142">
        <v>2675</v>
      </c>
      <c r="I13" s="121"/>
      <c r="J13" s="119"/>
      <c r="K13" s="163"/>
      <c r="L13" s="162"/>
      <c r="M13" s="122">
        <f t="shared" si="1"/>
        <v>5350</v>
      </c>
      <c r="N13" s="162">
        <v>4400</v>
      </c>
      <c r="O13" s="164">
        <f t="shared" si="2"/>
        <v>950</v>
      </c>
      <c r="P13" s="164">
        <f t="shared" si="3"/>
        <v>5700</v>
      </c>
      <c r="Q13" s="165"/>
      <c r="S13" s="161" t="s">
        <v>58</v>
      </c>
      <c r="T13" s="142">
        <v>1220</v>
      </c>
      <c r="U13" s="166">
        <v>1455</v>
      </c>
      <c r="V13" s="123"/>
      <c r="W13" s="123"/>
      <c r="X13" s="124"/>
      <c r="Y13" s="149">
        <v>0</v>
      </c>
      <c r="Z13" s="121"/>
      <c r="AA13" s="121"/>
      <c r="AB13" s="121"/>
      <c r="AC13" s="119"/>
      <c r="AD13" s="141">
        <v>2675</v>
      </c>
      <c r="AE13" s="149">
        <v>0</v>
      </c>
      <c r="AF13" s="121"/>
      <c r="AG13" s="121"/>
      <c r="AH13" s="119"/>
      <c r="AI13" s="140">
        <v>1220</v>
      </c>
      <c r="AJ13" s="167">
        <v>1280</v>
      </c>
      <c r="AK13" s="90"/>
      <c r="AL13" s="143"/>
      <c r="AM13" s="164"/>
      <c r="AN13" s="168">
        <v>-1047.7</v>
      </c>
      <c r="AO13" s="169">
        <v>-279</v>
      </c>
      <c r="AP13" s="170"/>
      <c r="AQ13" s="171"/>
      <c r="AR13" s="143"/>
      <c r="AS13" s="168"/>
      <c r="AT13" s="169"/>
      <c r="AU13" s="108">
        <f t="shared" si="0"/>
        <v>6523.3</v>
      </c>
      <c r="AV13" s="172"/>
      <c r="AW13" s="144">
        <v>-5000</v>
      </c>
      <c r="AX13" s="160">
        <v>12000</v>
      </c>
      <c r="AY13" s="111"/>
    </row>
    <row r="14" spans="1:65" s="95" customFormat="1" x14ac:dyDescent="0.2">
      <c r="A14" s="161" t="s">
        <v>59</v>
      </c>
      <c r="B14" s="115"/>
      <c r="C14" s="116"/>
      <c r="D14" s="117"/>
      <c r="E14" s="140"/>
      <c r="F14" s="119"/>
      <c r="G14" s="162"/>
      <c r="H14" s="142"/>
      <c r="I14" s="121"/>
      <c r="J14" s="119"/>
      <c r="K14" s="163"/>
      <c r="L14" s="162"/>
      <c r="M14" s="122">
        <f t="shared" si="1"/>
        <v>0</v>
      </c>
      <c r="N14" s="162">
        <v>4400</v>
      </c>
      <c r="O14" s="164">
        <f t="shared" si="2"/>
        <v>-4400</v>
      </c>
      <c r="P14" s="164">
        <f t="shared" si="3"/>
        <v>1300</v>
      </c>
      <c r="Q14" s="165"/>
      <c r="S14" s="175" t="s">
        <v>59</v>
      </c>
      <c r="T14" s="147">
        <v>1220</v>
      </c>
      <c r="U14" s="148">
        <v>1455</v>
      </c>
      <c r="V14" s="123"/>
      <c r="W14" s="123"/>
      <c r="X14" s="124"/>
      <c r="Y14" s="147">
        <v>2675</v>
      </c>
      <c r="Z14" s="121"/>
      <c r="AA14" s="121"/>
      <c r="AB14" s="121"/>
      <c r="AC14" s="119"/>
      <c r="AD14" s="150">
        <v>2675</v>
      </c>
      <c r="AE14" s="178">
        <v>2675</v>
      </c>
      <c r="AF14" s="121"/>
      <c r="AG14" s="121"/>
      <c r="AH14" s="119"/>
      <c r="AI14" s="151">
        <v>1220</v>
      </c>
      <c r="AJ14" s="152">
        <v>1280</v>
      </c>
      <c r="AK14" s="90"/>
      <c r="AL14" s="153"/>
      <c r="AM14" s="176">
        <v>5350</v>
      </c>
      <c r="AN14" s="155"/>
      <c r="AO14" s="156"/>
      <c r="AP14" s="157">
        <v>-2209.2800000000002</v>
      </c>
      <c r="AQ14" s="158">
        <v>1749</v>
      </c>
      <c r="AR14" s="153"/>
      <c r="AS14" s="155">
        <v>-1153.27</v>
      </c>
      <c r="AT14" s="156">
        <v>1260</v>
      </c>
      <c r="AU14" s="108">
        <f t="shared" si="0"/>
        <v>18196.45</v>
      </c>
      <c r="AV14" s="177"/>
      <c r="AW14" s="154">
        <v>-5000</v>
      </c>
      <c r="AX14" s="160">
        <v>12000</v>
      </c>
      <c r="AY14" s="134">
        <v>6</v>
      </c>
    </row>
    <row r="15" spans="1:65" s="95" customFormat="1" x14ac:dyDescent="0.2">
      <c r="A15" s="161" t="s">
        <v>60</v>
      </c>
      <c r="B15" s="115"/>
      <c r="C15" s="116"/>
      <c r="D15" s="117"/>
      <c r="E15" s="140">
        <v>2675</v>
      </c>
      <c r="F15" s="119"/>
      <c r="G15" s="162"/>
      <c r="H15" s="142">
        <v>2675</v>
      </c>
      <c r="I15" s="166">
        <v>3175</v>
      </c>
      <c r="J15" s="119"/>
      <c r="K15" s="163"/>
      <c r="L15" s="162">
        <v>400</v>
      </c>
      <c r="M15" s="122">
        <f t="shared" si="1"/>
        <v>8925</v>
      </c>
      <c r="N15" s="162">
        <v>4400</v>
      </c>
      <c r="O15" s="164">
        <f t="shared" si="2"/>
        <v>4525</v>
      </c>
      <c r="P15" s="164">
        <f t="shared" si="3"/>
        <v>5825</v>
      </c>
      <c r="Q15" s="165" t="s">
        <v>61</v>
      </c>
      <c r="S15" s="161" t="s">
        <v>60</v>
      </c>
      <c r="T15" s="142">
        <v>1220</v>
      </c>
      <c r="U15" s="166">
        <v>1455</v>
      </c>
      <c r="V15" s="123"/>
      <c r="W15" s="123"/>
      <c r="X15" s="124"/>
      <c r="Y15" s="149">
        <v>0</v>
      </c>
      <c r="Z15" s="121"/>
      <c r="AA15" s="121"/>
      <c r="AB15" s="121"/>
      <c r="AC15" s="119"/>
      <c r="AD15" s="141">
        <v>2675</v>
      </c>
      <c r="AE15" s="149">
        <v>0</v>
      </c>
      <c r="AF15" s="179">
        <v>0</v>
      </c>
      <c r="AG15" s="121"/>
      <c r="AH15" s="119"/>
      <c r="AI15" s="140">
        <v>1220</v>
      </c>
      <c r="AJ15" s="167">
        <v>1280</v>
      </c>
      <c r="AK15" s="90"/>
      <c r="AL15" s="143"/>
      <c r="AM15" s="164"/>
      <c r="AN15" s="168">
        <v>-1056.9000000000001</v>
      </c>
      <c r="AO15" s="169">
        <v>-279</v>
      </c>
      <c r="AP15" s="170"/>
      <c r="AQ15" s="171"/>
      <c r="AR15" s="143"/>
      <c r="AS15" s="168"/>
      <c r="AT15" s="169"/>
      <c r="AU15" s="108">
        <f t="shared" si="0"/>
        <v>6514.1</v>
      </c>
      <c r="AV15" s="172"/>
      <c r="AW15" s="144">
        <v>-5000</v>
      </c>
      <c r="AX15" s="160">
        <v>12000</v>
      </c>
      <c r="AY15" s="111"/>
    </row>
    <row r="16" spans="1:65" s="95" customFormat="1" x14ac:dyDescent="0.2">
      <c r="A16" s="161" t="s">
        <v>62</v>
      </c>
      <c r="B16" s="115"/>
      <c r="C16" s="116"/>
      <c r="D16" s="117"/>
      <c r="E16" s="140">
        <v>2675</v>
      </c>
      <c r="F16" s="119"/>
      <c r="G16" s="162"/>
      <c r="H16" s="120"/>
      <c r="I16" s="166"/>
      <c r="J16" s="119"/>
      <c r="K16" s="163"/>
      <c r="L16" s="162"/>
      <c r="M16" s="122">
        <f t="shared" si="1"/>
        <v>2675</v>
      </c>
      <c r="N16" s="162">
        <v>4400</v>
      </c>
      <c r="O16" s="164">
        <f t="shared" si="2"/>
        <v>-1725</v>
      </c>
      <c r="P16" s="164">
        <f t="shared" si="3"/>
        <v>4100</v>
      </c>
      <c r="Q16" s="165"/>
      <c r="S16" s="175" t="s">
        <v>62</v>
      </c>
      <c r="T16" s="147">
        <v>1220</v>
      </c>
      <c r="U16" s="148">
        <v>1455</v>
      </c>
      <c r="V16" s="123"/>
      <c r="W16" s="123"/>
      <c r="X16" s="124"/>
      <c r="Y16" s="149">
        <v>0</v>
      </c>
      <c r="Z16" s="121"/>
      <c r="AA16" s="121"/>
      <c r="AB16" s="121"/>
      <c r="AC16" s="119"/>
      <c r="AD16" s="150">
        <v>2675</v>
      </c>
      <c r="AE16" s="120"/>
      <c r="AF16" s="148">
        <v>3165</v>
      </c>
      <c r="AG16" s="121"/>
      <c r="AH16" s="119"/>
      <c r="AI16" s="151">
        <v>1220</v>
      </c>
      <c r="AJ16" s="152">
        <v>1280</v>
      </c>
      <c r="AK16" s="135"/>
      <c r="AL16" s="180"/>
      <c r="AM16" s="176"/>
      <c r="AN16" s="155"/>
      <c r="AO16" s="156"/>
      <c r="AP16" s="157">
        <v>-2732.64</v>
      </c>
      <c r="AQ16" s="158">
        <v>1842</v>
      </c>
      <c r="AR16" s="180"/>
      <c r="AS16" s="155">
        <v>-956.62</v>
      </c>
      <c r="AT16" s="156">
        <v>1092</v>
      </c>
      <c r="AU16" s="108">
        <f t="shared" si="0"/>
        <v>10259.74</v>
      </c>
      <c r="AV16" s="177"/>
      <c r="AW16" s="154">
        <v>-5000</v>
      </c>
      <c r="AX16" s="160">
        <v>12000</v>
      </c>
      <c r="AY16" s="134">
        <v>7</v>
      </c>
    </row>
    <row r="17" spans="1:68" s="95" customFormat="1" x14ac:dyDescent="0.2">
      <c r="A17" s="161" t="s">
        <v>63</v>
      </c>
      <c r="B17" s="115"/>
      <c r="C17" s="116"/>
      <c r="D17" s="117"/>
      <c r="E17" s="140">
        <v>2675</v>
      </c>
      <c r="F17" s="119"/>
      <c r="G17" s="162"/>
      <c r="H17" s="120"/>
      <c r="I17" s="166">
        <v>3185</v>
      </c>
      <c r="J17" s="119"/>
      <c r="K17" s="163"/>
      <c r="L17" s="162"/>
      <c r="M17" s="122">
        <f t="shared" si="1"/>
        <v>5860</v>
      </c>
      <c r="N17" s="162">
        <v>4400</v>
      </c>
      <c r="O17" s="164">
        <f t="shared" si="2"/>
        <v>1460</v>
      </c>
      <c r="P17" s="164">
        <f t="shared" si="3"/>
        <v>5560</v>
      </c>
      <c r="Q17" s="165"/>
      <c r="S17" s="161" t="s">
        <v>63</v>
      </c>
      <c r="T17" s="142">
        <v>1220</v>
      </c>
      <c r="U17" s="166">
        <v>1455</v>
      </c>
      <c r="V17" s="123"/>
      <c r="W17" s="123"/>
      <c r="X17" s="124"/>
      <c r="Y17" s="149">
        <v>0</v>
      </c>
      <c r="Z17" s="121"/>
      <c r="AA17" s="121"/>
      <c r="AB17" s="121"/>
      <c r="AC17" s="119"/>
      <c r="AD17" s="141">
        <v>2675</v>
      </c>
      <c r="AE17" s="120"/>
      <c r="AF17" s="179">
        <v>0</v>
      </c>
      <c r="AG17" s="121"/>
      <c r="AH17" s="119"/>
      <c r="AI17" s="140">
        <v>1220</v>
      </c>
      <c r="AJ17" s="167">
        <v>1280</v>
      </c>
      <c r="AK17" s="135"/>
      <c r="AL17" s="163"/>
      <c r="AM17" s="164"/>
      <c r="AN17" s="168">
        <v>-1067.0999999999999</v>
      </c>
      <c r="AO17" s="169">
        <v>-279</v>
      </c>
      <c r="AP17" s="170"/>
      <c r="AQ17" s="171"/>
      <c r="AR17" s="163"/>
      <c r="AS17" s="168"/>
      <c r="AT17" s="169"/>
      <c r="AU17" s="108">
        <f t="shared" si="0"/>
        <v>6503.9</v>
      </c>
      <c r="AV17" s="172"/>
      <c r="AW17" s="144">
        <v>-5000</v>
      </c>
      <c r="AX17" s="160">
        <v>12000</v>
      </c>
      <c r="AY17" s="111"/>
    </row>
    <row r="18" spans="1:68" s="95" customFormat="1" x14ac:dyDescent="0.2">
      <c r="A18" s="161" t="s">
        <v>64</v>
      </c>
      <c r="B18" s="115"/>
      <c r="C18" s="116"/>
      <c r="D18" s="117"/>
      <c r="E18" s="140"/>
      <c r="F18" s="119"/>
      <c r="G18" s="162"/>
      <c r="H18" s="120"/>
      <c r="I18" s="166"/>
      <c r="J18" s="119"/>
      <c r="K18" s="163"/>
      <c r="L18" s="162"/>
      <c r="M18" s="122">
        <f t="shared" si="1"/>
        <v>0</v>
      </c>
      <c r="N18" s="162">
        <v>4400</v>
      </c>
      <c r="O18" s="164">
        <f t="shared" si="2"/>
        <v>-4400</v>
      </c>
      <c r="P18" s="164">
        <f t="shared" si="3"/>
        <v>1160</v>
      </c>
      <c r="Q18" s="165"/>
      <c r="S18" s="175" t="s">
        <v>64</v>
      </c>
      <c r="T18" s="147">
        <v>1220</v>
      </c>
      <c r="U18" s="148">
        <v>1455</v>
      </c>
      <c r="V18" s="123"/>
      <c r="W18" s="123"/>
      <c r="X18" s="124"/>
      <c r="Y18" s="147">
        <v>2675</v>
      </c>
      <c r="Z18" s="121"/>
      <c r="AA18" s="121"/>
      <c r="AB18" s="121"/>
      <c r="AC18" s="119"/>
      <c r="AD18" s="181">
        <v>2675</v>
      </c>
      <c r="AE18" s="120"/>
      <c r="AF18" s="148">
        <v>1500</v>
      </c>
      <c r="AG18" s="121"/>
      <c r="AH18" s="119"/>
      <c r="AI18" s="151">
        <v>1220</v>
      </c>
      <c r="AJ18" s="152">
        <v>1280</v>
      </c>
      <c r="AK18" s="135"/>
      <c r="AL18" s="180"/>
      <c r="AM18" s="176"/>
      <c r="AN18" s="155"/>
      <c r="AO18" s="156"/>
      <c r="AP18" s="157">
        <v>-1987.21</v>
      </c>
      <c r="AQ18" s="158">
        <v>3844.6</v>
      </c>
      <c r="AR18" s="180">
        <v>2272.8000000000002</v>
      </c>
      <c r="AS18" s="182">
        <v>-2083.0300000000002</v>
      </c>
      <c r="AT18" s="156">
        <v>1092</v>
      </c>
      <c r="AU18" s="108">
        <f t="shared" si="0"/>
        <v>15164.160000000002</v>
      </c>
      <c r="AV18" s="177" t="s">
        <v>65</v>
      </c>
      <c r="AW18" s="154">
        <v>-5000</v>
      </c>
      <c r="AX18" s="160">
        <v>12000</v>
      </c>
      <c r="AY18" s="134">
        <v>8</v>
      </c>
    </row>
    <row r="19" spans="1:68" s="95" customFormat="1" ht="14.25" x14ac:dyDescent="0.2">
      <c r="A19" s="161" t="s">
        <v>66</v>
      </c>
      <c r="B19" s="115"/>
      <c r="C19" s="116"/>
      <c r="D19" s="117"/>
      <c r="E19" s="183">
        <v>2675</v>
      </c>
      <c r="F19" s="119"/>
      <c r="G19" s="184">
        <v>2675</v>
      </c>
      <c r="H19" s="120"/>
      <c r="I19" s="166"/>
      <c r="J19" s="119"/>
      <c r="K19" s="163"/>
      <c r="L19" s="162"/>
      <c r="M19" s="122">
        <f t="shared" si="1"/>
        <v>5350</v>
      </c>
      <c r="N19" s="162">
        <v>4400</v>
      </c>
      <c r="O19" s="164">
        <f t="shared" si="2"/>
        <v>950</v>
      </c>
      <c r="P19" s="164">
        <f t="shared" si="3"/>
        <v>2110</v>
      </c>
      <c r="Q19" s="165"/>
      <c r="S19" s="161" t="s">
        <v>67</v>
      </c>
      <c r="T19" s="185">
        <v>1220</v>
      </c>
      <c r="U19" s="186">
        <v>1455</v>
      </c>
      <c r="V19" s="187"/>
      <c r="W19" s="188"/>
      <c r="X19" s="189"/>
      <c r="Y19" s="190">
        <v>0</v>
      </c>
      <c r="Z19" s="191"/>
      <c r="AA19" s="191"/>
      <c r="AB19" s="121"/>
      <c r="AC19" s="119"/>
      <c r="AD19" s="192">
        <v>0</v>
      </c>
      <c r="AE19" s="193"/>
      <c r="AF19" s="194">
        <v>4500</v>
      </c>
      <c r="AG19" s="191"/>
      <c r="AH19" s="119"/>
      <c r="AI19" s="140">
        <v>1220</v>
      </c>
      <c r="AJ19" s="167">
        <v>1280</v>
      </c>
      <c r="AK19" s="135"/>
      <c r="AL19" s="163"/>
      <c r="AM19" s="164"/>
      <c r="AN19" s="195">
        <v>-1070.2</v>
      </c>
      <c r="AO19" s="169">
        <v>-279</v>
      </c>
      <c r="AP19" s="170"/>
      <c r="AQ19" s="171"/>
      <c r="AR19" s="163"/>
      <c r="AS19" s="196"/>
      <c r="AT19" s="169"/>
      <c r="AU19" s="108">
        <f t="shared" si="0"/>
        <v>8325.7999999999993</v>
      </c>
      <c r="AV19" s="172" t="s">
        <v>68</v>
      </c>
      <c r="AW19" s="144">
        <v>-5000</v>
      </c>
      <c r="AX19" s="160">
        <v>12000</v>
      </c>
      <c r="AY19" s="111"/>
      <c r="BN19" s="95">
        <f>BO19*BP19</f>
        <v>113.47128000000001</v>
      </c>
      <c r="BO19" s="95">
        <v>8.0820000000000007</v>
      </c>
      <c r="BP19" s="95">
        <v>14.04</v>
      </c>
    </row>
    <row r="20" spans="1:68" s="95" customFormat="1" x14ac:dyDescent="0.2">
      <c r="A20" s="161" t="s">
        <v>69</v>
      </c>
      <c r="B20" s="115"/>
      <c r="C20" s="116"/>
      <c r="D20" s="117"/>
      <c r="E20" s="140"/>
      <c r="F20" s="119"/>
      <c r="G20" s="162">
        <v>2975</v>
      </c>
      <c r="H20" s="120"/>
      <c r="I20" s="166"/>
      <c r="J20" s="119"/>
      <c r="K20" s="163"/>
      <c r="L20" s="162"/>
      <c r="M20" s="122">
        <f t="shared" si="1"/>
        <v>2975</v>
      </c>
      <c r="N20" s="162">
        <v>4400</v>
      </c>
      <c r="O20" s="164">
        <f t="shared" si="2"/>
        <v>-1425</v>
      </c>
      <c r="P20" s="164">
        <f t="shared" si="3"/>
        <v>685</v>
      </c>
      <c r="Q20" s="165"/>
      <c r="S20" s="175" t="s">
        <v>69</v>
      </c>
      <c r="T20" s="147">
        <v>1220</v>
      </c>
      <c r="U20" s="148">
        <v>0</v>
      </c>
      <c r="V20" s="123"/>
      <c r="W20" s="123"/>
      <c r="X20" s="124"/>
      <c r="Y20" s="147">
        <v>2925</v>
      </c>
      <c r="Z20" s="121"/>
      <c r="AA20" s="121"/>
      <c r="AB20" s="121"/>
      <c r="AC20" s="119"/>
      <c r="AD20" s="197">
        <v>0</v>
      </c>
      <c r="AE20" s="120"/>
      <c r="AF20" s="148">
        <v>2500</v>
      </c>
      <c r="AG20" s="121"/>
      <c r="AH20" s="119"/>
      <c r="AI20" s="151">
        <v>1220</v>
      </c>
      <c r="AJ20" s="152">
        <v>800</v>
      </c>
      <c r="AK20" s="135"/>
      <c r="AL20" s="180"/>
      <c r="AM20" s="176"/>
      <c r="AN20" s="155"/>
      <c r="AO20" s="156"/>
      <c r="AP20" s="157">
        <v>-1917.43</v>
      </c>
      <c r="AQ20" s="158">
        <v>2947.5</v>
      </c>
      <c r="AR20" s="180">
        <v>1890.24</v>
      </c>
      <c r="AS20" s="198"/>
      <c r="AT20" s="156">
        <v>1148</v>
      </c>
      <c r="AU20" s="108">
        <f t="shared" si="0"/>
        <v>12733.31</v>
      </c>
      <c r="AV20" s="177"/>
      <c r="AW20" s="199">
        <v>-4400</v>
      </c>
      <c r="AX20" s="160">
        <v>12000</v>
      </c>
      <c r="AY20" s="134">
        <v>9</v>
      </c>
      <c r="BN20" s="95">
        <f>BO20*BP20</f>
        <v>620.95123999999998</v>
      </c>
      <c r="BO20" s="95">
        <v>14.834</v>
      </c>
      <c r="BP20" s="95">
        <v>41.86</v>
      </c>
    </row>
    <row r="21" spans="1:68" s="95" customFormat="1" x14ac:dyDescent="0.2">
      <c r="A21" s="161" t="s">
        <v>70</v>
      </c>
      <c r="B21" s="115"/>
      <c r="C21" s="116"/>
      <c r="D21" s="117"/>
      <c r="E21" s="140"/>
      <c r="F21" s="119"/>
      <c r="G21" s="162"/>
      <c r="H21" s="120"/>
      <c r="I21" s="166"/>
      <c r="J21" s="119"/>
      <c r="K21" s="163"/>
      <c r="L21" s="162"/>
      <c r="M21" s="122">
        <f t="shared" si="1"/>
        <v>0</v>
      </c>
      <c r="N21" s="162">
        <v>0</v>
      </c>
      <c r="O21" s="164">
        <f t="shared" si="2"/>
        <v>0</v>
      </c>
      <c r="P21" s="164">
        <f t="shared" si="3"/>
        <v>685</v>
      </c>
      <c r="Q21" s="165" t="s">
        <v>71</v>
      </c>
      <c r="S21" s="161" t="s">
        <v>70</v>
      </c>
      <c r="T21" s="142">
        <v>1220</v>
      </c>
      <c r="U21" s="166">
        <v>2475</v>
      </c>
      <c r="V21" s="123"/>
      <c r="W21" s="123"/>
      <c r="X21" s="124"/>
      <c r="Y21" s="147">
        <v>2925</v>
      </c>
      <c r="Z21" s="121"/>
      <c r="AA21" s="121"/>
      <c r="AB21" s="121"/>
      <c r="AC21" s="119"/>
      <c r="AD21" s="162">
        <v>2975</v>
      </c>
      <c r="AE21" s="120"/>
      <c r="AF21" s="166">
        <v>0</v>
      </c>
      <c r="AG21" s="121"/>
      <c r="AH21" s="119"/>
      <c r="AI21" s="140">
        <v>1220</v>
      </c>
      <c r="AJ21" s="200"/>
      <c r="AK21" s="135"/>
      <c r="AL21" s="163"/>
      <c r="AM21" s="164"/>
      <c r="AN21" s="168">
        <v>-1080.94</v>
      </c>
      <c r="AO21" s="169">
        <v>-279</v>
      </c>
      <c r="AP21" s="170"/>
      <c r="AQ21" s="171"/>
      <c r="AR21" s="163"/>
      <c r="AS21" s="201"/>
      <c r="AT21" s="169"/>
      <c r="AU21" s="108">
        <f t="shared" si="0"/>
        <v>9455.06</v>
      </c>
      <c r="AV21" s="172"/>
      <c r="AW21" s="202">
        <v>-5000</v>
      </c>
      <c r="AX21" s="160">
        <v>12000</v>
      </c>
      <c r="AY21" s="111"/>
      <c r="BN21" s="95">
        <f>SUM(BN19:BN20)</f>
        <v>734.42251999999996</v>
      </c>
    </row>
    <row r="22" spans="1:68" s="95" customFormat="1" x14ac:dyDescent="0.2">
      <c r="A22" s="161" t="s">
        <v>72</v>
      </c>
      <c r="B22" s="115"/>
      <c r="C22" s="116"/>
      <c r="D22" s="117"/>
      <c r="E22" s="140"/>
      <c r="F22" s="119"/>
      <c r="G22" s="162">
        <v>2975</v>
      </c>
      <c r="H22" s="120"/>
      <c r="I22" s="166"/>
      <c r="J22" s="119"/>
      <c r="K22" s="163">
        <v>1280</v>
      </c>
      <c r="L22" s="162"/>
      <c r="M22" s="122">
        <f t="shared" si="1"/>
        <v>4255</v>
      </c>
      <c r="N22" s="162">
        <v>4400</v>
      </c>
      <c r="O22" s="164">
        <f t="shared" si="2"/>
        <v>-145</v>
      </c>
      <c r="P22" s="164">
        <f t="shared" si="3"/>
        <v>540</v>
      </c>
      <c r="Q22" s="165"/>
      <c r="S22" s="175" t="s">
        <v>72</v>
      </c>
      <c r="T22" s="147">
        <v>1220</v>
      </c>
      <c r="U22" s="148">
        <v>1000</v>
      </c>
      <c r="V22" s="123"/>
      <c r="W22" s="123"/>
      <c r="X22" s="124"/>
      <c r="Y22" s="147">
        <v>2925</v>
      </c>
      <c r="Z22" s="121"/>
      <c r="AA22" s="121"/>
      <c r="AB22" s="121"/>
      <c r="AC22" s="119"/>
      <c r="AD22" s="197">
        <v>0</v>
      </c>
      <c r="AE22" s="203"/>
      <c r="AF22" s="148">
        <v>7800</v>
      </c>
      <c r="AG22" s="121"/>
      <c r="AH22" s="119"/>
      <c r="AI22" s="151">
        <v>1220</v>
      </c>
      <c r="AJ22" s="204">
        <v>0</v>
      </c>
      <c r="AK22" s="135"/>
      <c r="AL22" s="180"/>
      <c r="AM22" s="176"/>
      <c r="AN22" s="205"/>
      <c r="AO22" s="206"/>
      <c r="AP22" s="157">
        <v>-1208.57</v>
      </c>
      <c r="AQ22" s="158">
        <v>2263.6</v>
      </c>
      <c r="AR22" s="180">
        <v>1067.52</v>
      </c>
      <c r="AS22" s="207">
        <v>-1036.3800000000001</v>
      </c>
      <c r="AT22" s="156">
        <v>1386</v>
      </c>
      <c r="AU22" s="108">
        <f t="shared" si="0"/>
        <v>16637.170000000002</v>
      </c>
      <c r="AV22" s="177"/>
      <c r="AW22" s="199">
        <v>-5000</v>
      </c>
      <c r="AX22" s="160">
        <v>12000</v>
      </c>
      <c r="AY22" s="134">
        <v>10</v>
      </c>
    </row>
    <row r="23" spans="1:68" s="95" customFormat="1" x14ac:dyDescent="0.2">
      <c r="A23" s="161" t="s">
        <v>73</v>
      </c>
      <c r="B23" s="115"/>
      <c r="C23" s="116"/>
      <c r="D23" s="117"/>
      <c r="E23" s="140">
        <v>2925</v>
      </c>
      <c r="F23" s="119"/>
      <c r="G23" s="162"/>
      <c r="H23" s="120"/>
      <c r="I23" s="166"/>
      <c r="J23" s="119"/>
      <c r="K23" s="163"/>
      <c r="L23" s="162"/>
      <c r="M23" s="122">
        <f t="shared" si="1"/>
        <v>2925</v>
      </c>
      <c r="N23" s="162">
        <v>4400</v>
      </c>
      <c r="O23" s="164">
        <f>M23-N23</f>
        <v>-1475</v>
      </c>
      <c r="P23" s="164">
        <f t="shared" si="3"/>
        <v>-935</v>
      </c>
      <c r="Q23" s="165"/>
      <c r="S23" s="161" t="s">
        <v>74</v>
      </c>
      <c r="T23" s="142">
        <v>1220</v>
      </c>
      <c r="U23" s="166">
        <v>2500</v>
      </c>
      <c r="V23" s="123"/>
      <c r="W23" s="123"/>
      <c r="X23" s="124"/>
      <c r="Y23" s="208">
        <v>0</v>
      </c>
      <c r="Z23" s="121"/>
      <c r="AA23" s="121"/>
      <c r="AB23" s="121"/>
      <c r="AC23" s="119"/>
      <c r="AD23" s="162">
        <v>2975</v>
      </c>
      <c r="AE23" s="203"/>
      <c r="AF23" s="166">
        <v>0</v>
      </c>
      <c r="AG23" s="121"/>
      <c r="AH23" s="119"/>
      <c r="AI23" s="140">
        <v>1220</v>
      </c>
      <c r="AJ23" s="200">
        <v>2800</v>
      </c>
      <c r="AK23" s="135"/>
      <c r="AL23" s="163"/>
      <c r="AM23" s="164"/>
      <c r="AN23" s="168">
        <v>-1080.94</v>
      </c>
      <c r="AO23" s="169">
        <v>-1464.96</v>
      </c>
      <c r="AP23" s="170"/>
      <c r="AQ23" s="171"/>
      <c r="AR23" s="163"/>
      <c r="AS23" s="168"/>
      <c r="AT23" s="169"/>
      <c r="AU23" s="108">
        <f t="shared" si="0"/>
        <v>8169.0999999999995</v>
      </c>
      <c r="AV23" s="172"/>
      <c r="AW23" s="202">
        <v>-5000</v>
      </c>
      <c r="AX23" s="160">
        <v>12000</v>
      </c>
      <c r="AY23" s="111"/>
    </row>
    <row r="24" spans="1:68" s="95" customFormat="1" x14ac:dyDescent="0.2">
      <c r="A24" s="161" t="s">
        <v>75</v>
      </c>
      <c r="B24" s="115"/>
      <c r="C24" s="116"/>
      <c r="D24" s="117"/>
      <c r="E24" s="118"/>
      <c r="F24" s="200"/>
      <c r="G24" s="162">
        <v>2975</v>
      </c>
      <c r="H24" s="120"/>
      <c r="I24" s="166"/>
      <c r="J24" s="119"/>
      <c r="K24" s="163">
        <v>1280</v>
      </c>
      <c r="L24" s="162"/>
      <c r="M24" s="122">
        <f t="shared" si="1"/>
        <v>4255</v>
      </c>
      <c r="N24" s="162">
        <v>4400</v>
      </c>
      <c r="O24" s="164">
        <f t="shared" si="2"/>
        <v>-145</v>
      </c>
      <c r="P24" s="164">
        <f t="shared" si="3"/>
        <v>-1080</v>
      </c>
      <c r="Q24" s="165"/>
      <c r="S24" s="175" t="s">
        <v>75</v>
      </c>
      <c r="T24" s="147">
        <v>1220</v>
      </c>
      <c r="U24" s="148">
        <v>2130</v>
      </c>
      <c r="V24" s="123"/>
      <c r="W24" s="123"/>
      <c r="X24" s="124"/>
      <c r="Y24" s="120"/>
      <c r="Z24" s="148">
        <v>3000</v>
      </c>
      <c r="AA24" s="121"/>
      <c r="AB24" s="121"/>
      <c r="AC24" s="119"/>
      <c r="AD24" s="197">
        <v>0</v>
      </c>
      <c r="AE24" s="203"/>
      <c r="AF24" s="148">
        <v>1800</v>
      </c>
      <c r="AG24" s="121"/>
      <c r="AH24" s="119"/>
      <c r="AI24" s="151">
        <v>1220</v>
      </c>
      <c r="AJ24" s="204">
        <v>0</v>
      </c>
      <c r="AK24" s="135"/>
      <c r="AL24" s="180"/>
      <c r="AM24" s="176"/>
      <c r="AN24" s="155"/>
      <c r="AO24" s="156"/>
      <c r="AP24" s="157">
        <v>-1924.88</v>
      </c>
      <c r="AQ24" s="158">
        <v>2332.4</v>
      </c>
      <c r="AR24" s="180">
        <v>1012.32</v>
      </c>
      <c r="AS24" s="155">
        <v>-947.76</v>
      </c>
      <c r="AT24" s="156">
        <v>854</v>
      </c>
      <c r="AU24" s="108">
        <f t="shared" si="0"/>
        <v>10696.08</v>
      </c>
      <c r="AV24" s="177"/>
      <c r="AW24" s="199">
        <v>-5000</v>
      </c>
      <c r="AX24" s="160">
        <v>12000</v>
      </c>
      <c r="AY24" s="134">
        <v>11</v>
      </c>
    </row>
    <row r="25" spans="1:68" s="95" customFormat="1" x14ac:dyDescent="0.2">
      <c r="A25" s="161" t="s">
        <v>76</v>
      </c>
      <c r="B25" s="115"/>
      <c r="C25" s="116"/>
      <c r="D25" s="117"/>
      <c r="E25" s="118"/>
      <c r="F25" s="200"/>
      <c r="G25" s="162">
        <v>2975</v>
      </c>
      <c r="H25" s="120"/>
      <c r="I25" s="166"/>
      <c r="J25" s="119"/>
      <c r="K25" s="163"/>
      <c r="L25" s="162"/>
      <c r="M25" s="122">
        <f t="shared" si="1"/>
        <v>2975</v>
      </c>
      <c r="N25" s="162">
        <v>4400</v>
      </c>
      <c r="O25" s="164">
        <f t="shared" si="2"/>
        <v>-1425</v>
      </c>
      <c r="P25" s="164">
        <f t="shared" si="3"/>
        <v>-2505</v>
      </c>
      <c r="Q25" s="165"/>
      <c r="S25" s="161" t="s">
        <v>76</v>
      </c>
      <c r="T25" s="142">
        <v>1220</v>
      </c>
      <c r="U25" s="166">
        <v>1750</v>
      </c>
      <c r="V25" s="123"/>
      <c r="W25" s="123"/>
      <c r="X25" s="124"/>
      <c r="Y25" s="203"/>
      <c r="Z25" s="121"/>
      <c r="AA25" s="166">
        <v>3200</v>
      </c>
      <c r="AB25" s="121"/>
      <c r="AC25" s="119"/>
      <c r="AD25" s="197">
        <v>0</v>
      </c>
      <c r="AE25" s="203"/>
      <c r="AF25" s="166">
        <v>1800</v>
      </c>
      <c r="AG25" s="121"/>
      <c r="AH25" s="119"/>
      <c r="AI25" s="140">
        <v>1220</v>
      </c>
      <c r="AJ25" s="200"/>
      <c r="AK25" s="135"/>
      <c r="AL25" s="163"/>
      <c r="AM25" s="164"/>
      <c r="AN25" s="168">
        <v>-1335.6</v>
      </c>
      <c r="AO25" s="169">
        <v>-1464.96</v>
      </c>
      <c r="AP25" s="170"/>
      <c r="AQ25" s="171"/>
      <c r="AR25" s="163"/>
      <c r="AS25" s="168"/>
      <c r="AT25" s="169"/>
      <c r="AU25" s="108">
        <f t="shared" si="0"/>
        <v>6389.44</v>
      </c>
      <c r="AV25" s="172"/>
      <c r="AW25" s="202">
        <v>-5000</v>
      </c>
      <c r="AX25" s="160">
        <v>12000</v>
      </c>
      <c r="AY25" s="111"/>
    </row>
    <row r="26" spans="1:68" s="95" customFormat="1" x14ac:dyDescent="0.2">
      <c r="A26" s="161" t="s">
        <v>77</v>
      </c>
      <c r="B26" s="115"/>
      <c r="C26" s="116"/>
      <c r="D26" s="117"/>
      <c r="E26" s="118"/>
      <c r="F26" s="200"/>
      <c r="G26" s="162"/>
      <c r="H26" s="120"/>
      <c r="I26" s="166"/>
      <c r="J26" s="119"/>
      <c r="K26" s="163"/>
      <c r="L26" s="162"/>
      <c r="M26" s="122">
        <f t="shared" si="1"/>
        <v>0</v>
      </c>
      <c r="N26" s="162">
        <v>0</v>
      </c>
      <c r="O26" s="164">
        <f t="shared" si="2"/>
        <v>0</v>
      </c>
      <c r="P26" s="164">
        <f t="shared" si="3"/>
        <v>-2505</v>
      </c>
      <c r="Q26" s="165" t="s">
        <v>78</v>
      </c>
      <c r="S26" s="175" t="s">
        <v>77</v>
      </c>
      <c r="T26" s="209">
        <v>0</v>
      </c>
      <c r="U26" s="210">
        <v>0</v>
      </c>
      <c r="V26" s="123"/>
      <c r="W26" s="123"/>
      <c r="X26" s="124"/>
      <c r="Y26" s="203"/>
      <c r="Z26" s="121"/>
      <c r="AA26" s="148">
        <v>3200</v>
      </c>
      <c r="AB26" s="121"/>
      <c r="AC26" s="119"/>
      <c r="AD26" s="181">
        <v>3175</v>
      </c>
      <c r="AE26" s="203"/>
      <c r="AF26" s="148">
        <v>2500</v>
      </c>
      <c r="AG26" s="121"/>
      <c r="AH26" s="119"/>
      <c r="AI26" s="151">
        <v>1220</v>
      </c>
      <c r="AJ26" s="152">
        <v>1800</v>
      </c>
      <c r="AK26" s="135"/>
      <c r="AL26" s="180"/>
      <c r="AM26" s="176"/>
      <c r="AN26" s="155"/>
      <c r="AO26" s="156"/>
      <c r="AP26" s="157">
        <v>-1038.76</v>
      </c>
      <c r="AQ26" s="158">
        <v>1349.1</v>
      </c>
      <c r="AR26" s="180">
        <v>2143.6799999999998</v>
      </c>
      <c r="AS26" s="155">
        <v>-1005.88</v>
      </c>
      <c r="AT26" s="156">
        <v>924</v>
      </c>
      <c r="AU26" s="108">
        <f t="shared" si="0"/>
        <v>14267.140000000001</v>
      </c>
      <c r="AV26" s="177" t="s">
        <v>79</v>
      </c>
      <c r="AW26" s="199">
        <v>-5000</v>
      </c>
      <c r="AX26" s="160">
        <v>12000</v>
      </c>
      <c r="AY26" s="134">
        <v>12</v>
      </c>
    </row>
    <row r="27" spans="1:68" s="95" customFormat="1" x14ac:dyDescent="0.2">
      <c r="A27" s="161" t="s">
        <v>80</v>
      </c>
      <c r="B27" s="115"/>
      <c r="C27" s="116"/>
      <c r="D27" s="117"/>
      <c r="E27" s="118"/>
      <c r="F27" s="200"/>
      <c r="G27" s="162"/>
      <c r="H27" s="120"/>
      <c r="I27" s="121"/>
      <c r="J27" s="200"/>
      <c r="K27" s="163"/>
      <c r="L27" s="162"/>
      <c r="M27" s="122">
        <f t="shared" si="1"/>
        <v>0</v>
      </c>
      <c r="N27" s="162">
        <v>0</v>
      </c>
      <c r="O27" s="164">
        <f>M27-N27</f>
        <v>0</v>
      </c>
      <c r="P27" s="164">
        <f t="shared" si="3"/>
        <v>-2505</v>
      </c>
      <c r="Q27" s="165" t="s">
        <v>78</v>
      </c>
      <c r="S27" s="161" t="s">
        <v>80</v>
      </c>
      <c r="T27" s="209">
        <v>0</v>
      </c>
      <c r="U27" s="210">
        <v>0</v>
      </c>
      <c r="V27" s="123"/>
      <c r="W27" s="123"/>
      <c r="X27" s="124"/>
      <c r="Y27" s="203"/>
      <c r="Z27" s="121"/>
      <c r="AA27" s="166">
        <v>3200</v>
      </c>
      <c r="AB27" s="121"/>
      <c r="AC27" s="119"/>
      <c r="AD27" s="162">
        <v>3175</v>
      </c>
      <c r="AE27" s="203"/>
      <c r="AF27" s="121"/>
      <c r="AG27" s="166">
        <v>3375</v>
      </c>
      <c r="AH27" s="119"/>
      <c r="AI27" s="140">
        <v>1220</v>
      </c>
      <c r="AJ27" s="200">
        <v>1080</v>
      </c>
      <c r="AK27" s="135"/>
      <c r="AL27" s="163"/>
      <c r="AM27" s="164"/>
      <c r="AN27" s="168">
        <v>-1335.6</v>
      </c>
      <c r="AO27" s="169">
        <v>-1464.96</v>
      </c>
      <c r="AP27" s="170"/>
      <c r="AQ27" s="171"/>
      <c r="AR27" s="163"/>
      <c r="AS27" s="168"/>
      <c r="AT27" s="169"/>
      <c r="AU27" s="108">
        <f t="shared" si="0"/>
        <v>9249.4399999999987</v>
      </c>
      <c r="AV27" s="172"/>
      <c r="AW27" s="202">
        <v>-5000</v>
      </c>
      <c r="AX27" s="160">
        <v>12000</v>
      </c>
      <c r="AY27" s="111"/>
    </row>
    <row r="28" spans="1:68" s="95" customFormat="1" x14ac:dyDescent="0.2">
      <c r="A28" s="161" t="s">
        <v>81</v>
      </c>
      <c r="B28" s="115"/>
      <c r="C28" s="116"/>
      <c r="D28" s="117"/>
      <c r="E28" s="118"/>
      <c r="F28" s="200"/>
      <c r="G28" s="162"/>
      <c r="H28" s="120"/>
      <c r="I28" s="121"/>
      <c r="J28" s="200"/>
      <c r="K28" s="163"/>
      <c r="L28" s="162"/>
      <c r="M28" s="122">
        <f t="shared" si="1"/>
        <v>0</v>
      </c>
      <c r="N28" s="162">
        <v>0</v>
      </c>
      <c r="O28" s="164">
        <f t="shared" si="2"/>
        <v>0</v>
      </c>
      <c r="P28" s="164">
        <f t="shared" si="3"/>
        <v>-2505</v>
      </c>
      <c r="Q28" s="165" t="s">
        <v>78</v>
      </c>
      <c r="S28" s="175" t="s">
        <v>81</v>
      </c>
      <c r="T28" s="209">
        <v>0</v>
      </c>
      <c r="U28" s="210">
        <v>0</v>
      </c>
      <c r="V28" s="123"/>
      <c r="W28" s="123"/>
      <c r="X28" s="124"/>
      <c r="Y28" s="203"/>
      <c r="Z28" s="121"/>
      <c r="AA28" s="148">
        <v>3200</v>
      </c>
      <c r="AB28" s="121"/>
      <c r="AC28" s="119"/>
      <c r="AD28" s="181">
        <v>3175</v>
      </c>
      <c r="AE28" s="203"/>
      <c r="AF28" s="121"/>
      <c r="AG28" s="148">
        <v>3375</v>
      </c>
      <c r="AH28" s="119"/>
      <c r="AI28" s="151">
        <v>1220</v>
      </c>
      <c r="AJ28" s="152"/>
      <c r="AK28" s="135"/>
      <c r="AL28" s="180"/>
      <c r="AM28" s="176"/>
      <c r="AN28" s="155"/>
      <c r="AO28" s="156"/>
      <c r="AP28" s="157">
        <v>-862.02</v>
      </c>
      <c r="AQ28" s="158">
        <v>1478.7</v>
      </c>
      <c r="AR28" s="180">
        <v>3122.4</v>
      </c>
      <c r="AS28" s="155">
        <v>-843.89</v>
      </c>
      <c r="AT28" s="156">
        <v>798</v>
      </c>
      <c r="AU28" s="108">
        <f t="shared" si="0"/>
        <v>14663.19</v>
      </c>
      <c r="AV28" s="177" t="s">
        <v>82</v>
      </c>
      <c r="AW28" s="199">
        <v>-5000</v>
      </c>
      <c r="AX28" s="160">
        <v>12000</v>
      </c>
      <c r="AY28" s="134">
        <v>13</v>
      </c>
    </row>
    <row r="29" spans="1:68" s="95" customFormat="1" x14ac:dyDescent="0.2">
      <c r="A29" s="161" t="s">
        <v>83</v>
      </c>
      <c r="B29" s="211"/>
      <c r="C29" s="116"/>
      <c r="D29" s="117"/>
      <c r="E29" s="118"/>
      <c r="F29" s="200"/>
      <c r="G29" s="162">
        <v>3175</v>
      </c>
      <c r="H29" s="120"/>
      <c r="I29" s="121"/>
      <c r="J29" s="200"/>
      <c r="K29" s="163">
        <v>1280</v>
      </c>
      <c r="L29" s="162"/>
      <c r="M29" s="122">
        <f t="shared" si="1"/>
        <v>4455</v>
      </c>
      <c r="N29" s="162">
        <v>4400</v>
      </c>
      <c r="O29" s="164">
        <f t="shared" si="2"/>
        <v>55</v>
      </c>
      <c r="P29" s="164">
        <f t="shared" si="3"/>
        <v>-2450</v>
      </c>
      <c r="Q29" s="165"/>
      <c r="S29" s="161" t="s">
        <v>84</v>
      </c>
      <c r="T29" s="115"/>
      <c r="U29" s="123"/>
      <c r="V29" s="166">
        <v>3570</v>
      </c>
      <c r="W29" s="123"/>
      <c r="X29" s="124"/>
      <c r="Y29" s="203"/>
      <c r="Z29" s="121"/>
      <c r="AA29" s="166">
        <v>3200</v>
      </c>
      <c r="AB29" s="121"/>
      <c r="AC29" s="119"/>
      <c r="AD29" s="197">
        <v>0</v>
      </c>
      <c r="AE29" s="203"/>
      <c r="AF29" s="121">
        <v>550</v>
      </c>
      <c r="AG29" s="166">
        <v>3375</v>
      </c>
      <c r="AH29" s="119"/>
      <c r="AI29" s="140">
        <v>1220</v>
      </c>
      <c r="AJ29" s="204">
        <v>520</v>
      </c>
      <c r="AK29" s="135"/>
      <c r="AL29" s="163">
        <v>-1800</v>
      </c>
      <c r="AM29" s="164"/>
      <c r="AN29" s="168">
        <v>-1345.74</v>
      </c>
      <c r="AO29" s="169">
        <v>-1472.65</v>
      </c>
      <c r="AP29" s="170"/>
      <c r="AQ29" s="171"/>
      <c r="AR29" s="163"/>
      <c r="AS29" s="168"/>
      <c r="AT29" s="169"/>
      <c r="AU29" s="108">
        <f t="shared" si="0"/>
        <v>7816.6100000000006</v>
      </c>
      <c r="AV29" s="172"/>
      <c r="AW29" s="202">
        <v>-5000</v>
      </c>
      <c r="AX29" s="212">
        <v>12556.99</v>
      </c>
      <c r="AY29" s="111"/>
    </row>
    <row r="30" spans="1:68" s="95" customFormat="1" x14ac:dyDescent="0.2">
      <c r="A30" s="161" t="s">
        <v>85</v>
      </c>
      <c r="B30" s="211"/>
      <c r="C30" s="116"/>
      <c r="D30" s="117"/>
      <c r="E30" s="118"/>
      <c r="F30" s="200"/>
      <c r="G30" s="162">
        <v>3175</v>
      </c>
      <c r="H30" s="120"/>
      <c r="I30" s="121"/>
      <c r="J30" s="200"/>
      <c r="K30" s="163">
        <v>1480</v>
      </c>
      <c r="L30" s="162"/>
      <c r="M30" s="122">
        <f t="shared" si="1"/>
        <v>4655</v>
      </c>
      <c r="N30" s="162">
        <v>4400</v>
      </c>
      <c r="O30" s="164">
        <f t="shared" si="2"/>
        <v>255</v>
      </c>
      <c r="P30" s="213">
        <f t="shared" si="3"/>
        <v>-2195</v>
      </c>
      <c r="Q30" s="165"/>
      <c r="S30" s="175" t="s">
        <v>85</v>
      </c>
      <c r="T30" s="115"/>
      <c r="U30" s="123"/>
      <c r="V30" s="148">
        <v>3570</v>
      </c>
      <c r="W30" s="123"/>
      <c r="X30" s="124"/>
      <c r="Y30" s="203"/>
      <c r="Z30" s="121"/>
      <c r="AA30" s="148">
        <v>3200</v>
      </c>
      <c r="AB30" s="121"/>
      <c r="AC30" s="119"/>
      <c r="AD30" s="197">
        <v>0</v>
      </c>
      <c r="AE30" s="203"/>
      <c r="AF30" s="121">
        <v>500</v>
      </c>
      <c r="AG30" s="148">
        <v>3375</v>
      </c>
      <c r="AH30" s="119"/>
      <c r="AI30" s="151">
        <v>1220</v>
      </c>
      <c r="AJ30" s="204"/>
      <c r="AK30" s="135"/>
      <c r="AL30" s="180"/>
      <c r="AM30" s="176"/>
      <c r="AN30" s="155"/>
      <c r="AO30" s="156"/>
      <c r="AP30" s="157">
        <v>-1550.62</v>
      </c>
      <c r="AQ30" s="158">
        <v>2889.2</v>
      </c>
      <c r="AR30" s="180">
        <v>2438.4</v>
      </c>
      <c r="AS30" s="155">
        <v>-639.96</v>
      </c>
      <c r="AT30" s="156">
        <v>756</v>
      </c>
      <c r="AU30" s="108">
        <f t="shared" si="0"/>
        <v>15758.02</v>
      </c>
      <c r="AV30" s="177"/>
      <c r="AW30" s="199">
        <v>-5000</v>
      </c>
      <c r="AX30" s="214">
        <v>12562.9</v>
      </c>
      <c r="AY30" s="134">
        <v>14</v>
      </c>
    </row>
    <row r="31" spans="1:68" s="95" customFormat="1" x14ac:dyDescent="0.2">
      <c r="A31" s="161" t="s">
        <v>86</v>
      </c>
      <c r="B31" s="211"/>
      <c r="C31" s="116"/>
      <c r="D31" s="117"/>
      <c r="E31" s="118"/>
      <c r="F31" s="200"/>
      <c r="G31" s="162">
        <v>3175</v>
      </c>
      <c r="H31" s="120"/>
      <c r="I31" s="121"/>
      <c r="J31" s="200"/>
      <c r="K31" s="163">
        <v>1680</v>
      </c>
      <c r="L31" s="162"/>
      <c r="M31" s="122">
        <f t="shared" si="1"/>
        <v>4855</v>
      </c>
      <c r="N31" s="162">
        <v>4400</v>
      </c>
      <c r="O31" s="164">
        <f t="shared" si="2"/>
        <v>455</v>
      </c>
      <c r="P31" s="164">
        <f t="shared" si="3"/>
        <v>-1740</v>
      </c>
      <c r="Q31" s="215"/>
      <c r="S31" s="161" t="s">
        <v>86</v>
      </c>
      <c r="T31" s="115"/>
      <c r="U31" s="123"/>
      <c r="V31" s="166">
        <v>3570</v>
      </c>
      <c r="W31" s="123"/>
      <c r="X31" s="124"/>
      <c r="Y31" s="203"/>
      <c r="Z31" s="121"/>
      <c r="AA31" s="148">
        <v>3200</v>
      </c>
      <c r="AB31" s="121"/>
      <c r="AC31" s="119"/>
      <c r="AD31" s="197">
        <v>0</v>
      </c>
      <c r="AE31" s="203"/>
      <c r="AF31" s="121">
        <v>400</v>
      </c>
      <c r="AG31" s="148">
        <v>3375</v>
      </c>
      <c r="AH31" s="119"/>
      <c r="AI31" s="140">
        <v>1220</v>
      </c>
      <c r="AJ31" s="204"/>
      <c r="AK31" s="135"/>
      <c r="AL31" s="163"/>
      <c r="AM31" s="164"/>
      <c r="AN31" s="168">
        <v>-1366</v>
      </c>
      <c r="AO31" s="169">
        <v>-1494.8</v>
      </c>
      <c r="AP31" s="170"/>
      <c r="AQ31" s="171"/>
      <c r="AR31" s="163"/>
      <c r="AS31" s="168"/>
      <c r="AT31" s="169"/>
      <c r="AU31" s="108">
        <f t="shared" si="0"/>
        <v>8904.2000000000007</v>
      </c>
      <c r="AV31" s="172"/>
      <c r="AW31" s="202">
        <v>-5000</v>
      </c>
      <c r="AX31" s="212">
        <v>12598.41</v>
      </c>
      <c r="AY31" s="111"/>
    </row>
    <row r="32" spans="1:68" s="95" customFormat="1" x14ac:dyDescent="0.2">
      <c r="A32" s="161" t="s">
        <v>87</v>
      </c>
      <c r="B32" s="211"/>
      <c r="C32" s="116"/>
      <c r="D32" s="117"/>
      <c r="E32" s="118"/>
      <c r="F32" s="200"/>
      <c r="G32" s="162">
        <v>3375</v>
      </c>
      <c r="H32" s="120"/>
      <c r="I32" s="121"/>
      <c r="J32" s="200"/>
      <c r="K32" s="216">
        <v>0</v>
      </c>
      <c r="L32" s="162"/>
      <c r="M32" s="122">
        <f t="shared" si="1"/>
        <v>3375</v>
      </c>
      <c r="N32" s="162">
        <v>4400</v>
      </c>
      <c r="O32" s="164">
        <f t="shared" si="2"/>
        <v>-1025</v>
      </c>
      <c r="P32" s="164">
        <f t="shared" si="3"/>
        <v>-2765</v>
      </c>
      <c r="Q32" s="165"/>
      <c r="S32" s="175" t="s">
        <v>87</v>
      </c>
      <c r="T32" s="115"/>
      <c r="U32" s="123"/>
      <c r="V32" s="148">
        <v>3575</v>
      </c>
      <c r="W32" s="123"/>
      <c r="X32" s="124"/>
      <c r="Y32" s="203"/>
      <c r="Z32" s="121"/>
      <c r="AA32" s="148">
        <v>3200</v>
      </c>
      <c r="AB32" s="121"/>
      <c r="AC32" s="119"/>
      <c r="AD32" s="197">
        <v>0</v>
      </c>
      <c r="AE32" s="203"/>
      <c r="AF32" s="121">
        <v>500</v>
      </c>
      <c r="AG32" s="148">
        <v>3375</v>
      </c>
      <c r="AH32" s="119"/>
      <c r="AI32" s="151">
        <v>1220</v>
      </c>
      <c r="AJ32" s="152"/>
      <c r="AK32" s="135"/>
      <c r="AL32" s="180"/>
      <c r="AM32" s="176"/>
      <c r="AN32" s="155"/>
      <c r="AO32" s="156"/>
      <c r="AP32" s="157">
        <v>-1545.37</v>
      </c>
      <c r="AQ32" s="158">
        <v>2076.4</v>
      </c>
      <c r="AR32" s="180">
        <v>2254.08</v>
      </c>
      <c r="AS32" s="155">
        <v>-975.87</v>
      </c>
      <c r="AT32" s="156">
        <v>840</v>
      </c>
      <c r="AU32" s="108">
        <f t="shared" si="0"/>
        <v>14519.24</v>
      </c>
      <c r="AV32" s="177"/>
      <c r="AW32" s="199">
        <v>-5000</v>
      </c>
      <c r="AX32" s="214">
        <v>12760.98</v>
      </c>
      <c r="AY32" s="134">
        <v>15</v>
      </c>
    </row>
    <row r="33" spans="1:73" s="95" customFormat="1" x14ac:dyDescent="0.2">
      <c r="A33" s="161" t="s">
        <v>88</v>
      </c>
      <c r="B33" s="211"/>
      <c r="C33" s="116"/>
      <c r="D33" s="117"/>
      <c r="E33" s="118"/>
      <c r="F33" s="200"/>
      <c r="G33" s="162">
        <v>3375</v>
      </c>
      <c r="H33" s="120"/>
      <c r="I33" s="121"/>
      <c r="J33" s="200"/>
      <c r="K33" s="163">
        <v>1280</v>
      </c>
      <c r="L33" s="162"/>
      <c r="M33" s="122">
        <f t="shared" si="1"/>
        <v>4655</v>
      </c>
      <c r="N33" s="162">
        <v>4400</v>
      </c>
      <c r="O33" s="164">
        <f t="shared" si="2"/>
        <v>255</v>
      </c>
      <c r="P33" s="164">
        <f t="shared" si="3"/>
        <v>-2510</v>
      </c>
      <c r="Q33" s="165"/>
      <c r="S33" s="161" t="s">
        <v>88</v>
      </c>
      <c r="T33" s="115"/>
      <c r="U33" s="123"/>
      <c r="V33" s="166">
        <v>3575</v>
      </c>
      <c r="W33" s="123"/>
      <c r="X33" s="124"/>
      <c r="Y33" s="203"/>
      <c r="Z33" s="121"/>
      <c r="AA33" s="166">
        <v>3200</v>
      </c>
      <c r="AB33" s="121"/>
      <c r="AC33" s="119"/>
      <c r="AD33" s="197">
        <v>0</v>
      </c>
      <c r="AE33" s="203"/>
      <c r="AF33" s="121">
        <v>400</v>
      </c>
      <c r="AG33" s="148">
        <v>3375</v>
      </c>
      <c r="AH33" s="119"/>
      <c r="AI33" s="140">
        <v>1220</v>
      </c>
      <c r="AJ33" s="204"/>
      <c r="AK33" s="135"/>
      <c r="AL33" s="163"/>
      <c r="AM33" s="164"/>
      <c r="AN33" s="168">
        <v>-1376.1</v>
      </c>
      <c r="AO33" s="169">
        <v>-1505.9</v>
      </c>
      <c r="AP33" s="170"/>
      <c r="AQ33" s="171"/>
      <c r="AR33" s="163"/>
      <c r="AS33" s="168"/>
      <c r="AT33" s="169"/>
      <c r="AU33" s="108">
        <f t="shared" si="0"/>
        <v>8888</v>
      </c>
      <c r="AV33" s="172"/>
      <c r="AW33" s="202">
        <v>-5000</v>
      </c>
      <c r="AX33" s="212">
        <v>12748.95</v>
      </c>
      <c r="AY33" s="111"/>
    </row>
    <row r="34" spans="1:73" s="95" customFormat="1" x14ac:dyDescent="0.2">
      <c r="A34" s="161" t="s">
        <v>89</v>
      </c>
      <c r="B34" s="211"/>
      <c r="C34" s="116"/>
      <c r="D34" s="117"/>
      <c r="E34" s="118"/>
      <c r="F34" s="200"/>
      <c r="G34" s="162">
        <v>3375</v>
      </c>
      <c r="H34" s="120"/>
      <c r="I34" s="121"/>
      <c r="J34" s="200"/>
      <c r="K34" s="163">
        <v>1280</v>
      </c>
      <c r="L34" s="162"/>
      <c r="M34" s="122">
        <f t="shared" si="1"/>
        <v>4655</v>
      </c>
      <c r="N34" s="162">
        <v>4400</v>
      </c>
      <c r="O34" s="164">
        <f t="shared" si="2"/>
        <v>255</v>
      </c>
      <c r="P34" s="164">
        <f t="shared" si="3"/>
        <v>-2255</v>
      </c>
      <c r="Q34" s="165"/>
      <c r="S34" s="175" t="s">
        <v>89</v>
      </c>
      <c r="T34" s="115"/>
      <c r="U34" s="123"/>
      <c r="V34" s="148">
        <v>3575</v>
      </c>
      <c r="W34" s="123"/>
      <c r="X34" s="124"/>
      <c r="Y34" s="203"/>
      <c r="Z34" s="121"/>
      <c r="AA34" s="148">
        <v>3200</v>
      </c>
      <c r="AB34" s="121"/>
      <c r="AC34" s="119"/>
      <c r="AD34" s="197">
        <v>0</v>
      </c>
      <c r="AE34" s="203"/>
      <c r="AF34" s="121"/>
      <c r="AG34" s="148">
        <v>3375</v>
      </c>
      <c r="AH34" s="119"/>
      <c r="AI34" s="151">
        <v>1220</v>
      </c>
      <c r="AJ34" s="204"/>
      <c r="AK34" s="135"/>
      <c r="AL34" s="180"/>
      <c r="AM34" s="176"/>
      <c r="AN34" s="155"/>
      <c r="AO34" s="156"/>
      <c r="AP34" s="157">
        <v>-745.17</v>
      </c>
      <c r="AQ34" s="158">
        <v>1406.1</v>
      </c>
      <c r="AR34" s="180">
        <v>1404.96</v>
      </c>
      <c r="AS34" s="155">
        <v>-734.43</v>
      </c>
      <c r="AT34" s="156">
        <v>840</v>
      </c>
      <c r="AU34" s="108">
        <f t="shared" si="0"/>
        <v>13541.46</v>
      </c>
      <c r="AV34" s="177" t="s">
        <v>90</v>
      </c>
      <c r="AW34" s="199">
        <v>-5000</v>
      </c>
      <c r="AX34" s="214">
        <v>12779.02</v>
      </c>
      <c r="AY34" s="134">
        <v>16</v>
      </c>
    </row>
    <row r="35" spans="1:73" s="95" customFormat="1" x14ac:dyDescent="0.2">
      <c r="A35" s="161" t="s">
        <v>91</v>
      </c>
      <c r="B35" s="211"/>
      <c r="C35" s="116"/>
      <c r="D35" s="117"/>
      <c r="E35" s="118"/>
      <c r="F35" s="200">
        <v>3200</v>
      </c>
      <c r="G35" s="162">
        <v>3375</v>
      </c>
      <c r="H35" s="120"/>
      <c r="I35" s="121"/>
      <c r="J35" s="200"/>
      <c r="K35" s="163"/>
      <c r="L35" s="162"/>
      <c r="M35" s="122">
        <f t="shared" si="1"/>
        <v>6575</v>
      </c>
      <c r="N35" s="162">
        <v>4400</v>
      </c>
      <c r="O35" s="164">
        <f t="shared" si="2"/>
        <v>2175</v>
      </c>
      <c r="P35" s="164">
        <f t="shared" si="3"/>
        <v>-80</v>
      </c>
      <c r="Q35" s="165"/>
      <c r="S35" s="161" t="s">
        <v>91</v>
      </c>
      <c r="T35" s="115"/>
      <c r="U35" s="123"/>
      <c r="V35" s="166">
        <v>3575</v>
      </c>
      <c r="W35" s="123"/>
      <c r="X35" s="124"/>
      <c r="Y35" s="203"/>
      <c r="Z35" s="121"/>
      <c r="AA35" s="179">
        <v>0</v>
      </c>
      <c r="AB35" s="121"/>
      <c r="AC35" s="119"/>
      <c r="AD35" s="197">
        <v>0</v>
      </c>
      <c r="AE35" s="203"/>
      <c r="AF35" s="121"/>
      <c r="AG35" s="148">
        <v>3375</v>
      </c>
      <c r="AH35" s="119"/>
      <c r="AI35" s="140">
        <v>1220</v>
      </c>
      <c r="AJ35" s="200">
        <v>1280</v>
      </c>
      <c r="AK35" s="135"/>
      <c r="AL35" s="163"/>
      <c r="AM35" s="164"/>
      <c r="AN35" s="168">
        <v>-8268.5</v>
      </c>
      <c r="AO35" s="169">
        <v>-9048.7000000000007</v>
      </c>
      <c r="AP35" s="170"/>
      <c r="AQ35" s="171"/>
      <c r="AR35" s="163"/>
      <c r="AS35" s="168"/>
      <c r="AT35" s="169"/>
      <c r="AU35" s="108">
        <f t="shared" si="0"/>
        <v>-7867.2000000000007</v>
      </c>
      <c r="AV35" s="172"/>
      <c r="AW35" s="202">
        <v>-5000</v>
      </c>
      <c r="AX35" s="212">
        <v>12754.96</v>
      </c>
      <c r="AY35" s="111"/>
    </row>
    <row r="36" spans="1:73" s="95" customFormat="1" x14ac:dyDescent="0.2">
      <c r="A36" s="161" t="s">
        <v>92</v>
      </c>
      <c r="B36" s="211"/>
      <c r="C36" s="116"/>
      <c r="D36" s="117"/>
      <c r="E36" s="118"/>
      <c r="F36" s="200"/>
      <c r="G36" s="162">
        <v>3375</v>
      </c>
      <c r="H36" s="120"/>
      <c r="I36" s="121"/>
      <c r="J36" s="200"/>
      <c r="K36" s="163"/>
      <c r="L36" s="162"/>
      <c r="M36" s="122">
        <f t="shared" si="1"/>
        <v>3375</v>
      </c>
      <c r="N36" s="162">
        <v>4400</v>
      </c>
      <c r="O36" s="164">
        <f t="shared" si="2"/>
        <v>-1025</v>
      </c>
      <c r="P36" s="164">
        <f t="shared" si="3"/>
        <v>-1105</v>
      </c>
      <c r="Q36" s="165"/>
      <c r="S36" s="175" t="s">
        <v>92</v>
      </c>
      <c r="T36" s="115"/>
      <c r="U36" s="123"/>
      <c r="V36" s="166">
        <v>3575</v>
      </c>
      <c r="W36" s="123"/>
      <c r="X36" s="124"/>
      <c r="Y36" s="203"/>
      <c r="Z36" s="121"/>
      <c r="AA36" s="148">
        <v>3200</v>
      </c>
      <c r="AB36" s="121"/>
      <c r="AC36" s="119"/>
      <c r="AD36" s="197">
        <v>0</v>
      </c>
      <c r="AE36" s="203"/>
      <c r="AF36" s="121">
        <v>300</v>
      </c>
      <c r="AG36" s="148">
        <v>3375</v>
      </c>
      <c r="AH36" s="119"/>
      <c r="AI36" s="140">
        <v>1220</v>
      </c>
      <c r="AJ36" s="152">
        <v>1780</v>
      </c>
      <c r="AK36" s="135"/>
      <c r="AL36" s="180"/>
      <c r="AM36" s="176"/>
      <c r="AN36" s="155"/>
      <c r="AO36" s="156"/>
      <c r="AP36" s="157">
        <v>-1344.94</v>
      </c>
      <c r="AQ36" s="158">
        <v>1700.7</v>
      </c>
      <c r="AR36" s="180">
        <v>1360</v>
      </c>
      <c r="AS36" s="155">
        <v>-642.55999999999995</v>
      </c>
      <c r="AT36" s="156">
        <v>725</v>
      </c>
      <c r="AU36" s="108">
        <f t="shared" si="0"/>
        <v>15248.2</v>
      </c>
      <c r="AV36" s="177" t="s">
        <v>93</v>
      </c>
      <c r="AW36" s="199">
        <v>-5000</v>
      </c>
      <c r="AX36" s="214">
        <v>12736.92</v>
      </c>
      <c r="AY36" s="134">
        <v>17</v>
      </c>
    </row>
    <row r="37" spans="1:73" s="174" customFormat="1" ht="15" x14ac:dyDescent="0.2">
      <c r="A37" s="161" t="s">
        <v>94</v>
      </c>
      <c r="B37" s="211"/>
      <c r="C37" s="116"/>
      <c r="D37" s="117"/>
      <c r="E37" s="118"/>
      <c r="F37" s="200"/>
      <c r="G37" s="162">
        <v>3375</v>
      </c>
      <c r="H37" s="120"/>
      <c r="I37" s="121"/>
      <c r="J37" s="200"/>
      <c r="K37" s="163">
        <v>1780</v>
      </c>
      <c r="L37" s="162"/>
      <c r="M37" s="122">
        <f t="shared" si="1"/>
        <v>5155</v>
      </c>
      <c r="N37" s="162">
        <v>4400</v>
      </c>
      <c r="O37" s="164">
        <f t="shared" si="2"/>
        <v>755</v>
      </c>
      <c r="P37" s="164">
        <f t="shared" si="3"/>
        <v>-350</v>
      </c>
      <c r="Q37" s="165"/>
      <c r="S37" s="161" t="s">
        <v>94</v>
      </c>
      <c r="T37" s="115"/>
      <c r="U37" s="123"/>
      <c r="V37" s="166">
        <v>3575</v>
      </c>
      <c r="W37" s="123"/>
      <c r="X37" s="124"/>
      <c r="Y37" s="203"/>
      <c r="Z37" s="121"/>
      <c r="AA37" s="166">
        <v>3200</v>
      </c>
      <c r="AB37" s="121"/>
      <c r="AC37" s="119"/>
      <c r="AD37" s="197">
        <v>0</v>
      </c>
      <c r="AE37" s="203"/>
      <c r="AF37" s="121">
        <v>800</v>
      </c>
      <c r="AG37" s="148">
        <v>3375</v>
      </c>
      <c r="AH37" s="119"/>
      <c r="AI37" s="140">
        <v>1220</v>
      </c>
      <c r="AJ37" s="204"/>
      <c r="AK37" s="135"/>
      <c r="AL37" s="163"/>
      <c r="AM37" s="164"/>
      <c r="AN37" s="168">
        <v>0</v>
      </c>
      <c r="AO37" s="169">
        <v>0</v>
      </c>
      <c r="AP37" s="170"/>
      <c r="AQ37" s="171"/>
      <c r="AR37" s="163"/>
      <c r="AS37" s="168"/>
      <c r="AT37" s="169"/>
      <c r="AU37" s="108">
        <f t="shared" si="0"/>
        <v>12170</v>
      </c>
      <c r="AV37" s="177" t="s">
        <v>95</v>
      </c>
      <c r="AW37" s="202">
        <v>-5000</v>
      </c>
      <c r="AX37" s="214">
        <v>12773.67</v>
      </c>
      <c r="AY37" s="111"/>
      <c r="BA37" s="217" t="s">
        <v>23</v>
      </c>
      <c r="BB37" s="218"/>
      <c r="BC37" s="218"/>
      <c r="BD37" s="218"/>
      <c r="BE37" s="218"/>
      <c r="BF37" s="219"/>
      <c r="BH37" s="217" t="s">
        <v>96</v>
      </c>
      <c r="BI37" s="218"/>
      <c r="BJ37" s="218"/>
      <c r="BK37" s="218"/>
      <c r="BL37" s="218"/>
      <c r="BM37" s="218"/>
      <c r="BN37" s="219"/>
      <c r="BP37" s="217" t="s">
        <v>26</v>
      </c>
      <c r="BQ37" s="218"/>
      <c r="BR37" s="218"/>
      <c r="BS37" s="219"/>
      <c r="BT37" s="95"/>
      <c r="BU37" s="95"/>
    </row>
    <row r="38" spans="1:73" s="174" customFormat="1" ht="14.25" x14ac:dyDescent="0.2">
      <c r="A38" s="161" t="s">
        <v>97</v>
      </c>
      <c r="B38" s="211"/>
      <c r="C38" s="116"/>
      <c r="D38" s="117"/>
      <c r="E38" s="118"/>
      <c r="F38" s="200"/>
      <c r="G38" s="162">
        <v>3375</v>
      </c>
      <c r="H38" s="120"/>
      <c r="I38" s="121"/>
      <c r="J38" s="200"/>
      <c r="K38" s="216"/>
      <c r="L38" s="162"/>
      <c r="M38" s="122">
        <f t="shared" si="1"/>
        <v>3375</v>
      </c>
      <c r="N38" s="162">
        <v>4400</v>
      </c>
      <c r="O38" s="164">
        <f t="shared" si="2"/>
        <v>-1025</v>
      </c>
      <c r="P38" s="164">
        <f>O38+P37</f>
        <v>-1375</v>
      </c>
      <c r="Q38" s="165"/>
      <c r="S38" s="175" t="s">
        <v>97</v>
      </c>
      <c r="T38" s="115"/>
      <c r="U38" s="123"/>
      <c r="V38" s="166">
        <v>3575</v>
      </c>
      <c r="W38" s="123"/>
      <c r="X38" s="124"/>
      <c r="Y38" s="203"/>
      <c r="Z38" s="121"/>
      <c r="AA38" s="166">
        <v>3300</v>
      </c>
      <c r="AB38" s="121"/>
      <c r="AC38" s="119"/>
      <c r="AD38" s="197">
        <v>0</v>
      </c>
      <c r="AE38" s="203"/>
      <c r="AF38" s="121" t="s">
        <v>98</v>
      </c>
      <c r="AG38" s="148">
        <v>3375</v>
      </c>
      <c r="AH38" s="119"/>
      <c r="AI38" s="140">
        <v>1220</v>
      </c>
      <c r="AJ38" s="152">
        <v>1780</v>
      </c>
      <c r="AK38" s="135"/>
      <c r="AL38" s="163">
        <v>-1719</v>
      </c>
      <c r="AM38" s="176"/>
      <c r="AN38" s="155"/>
      <c r="AO38" s="156"/>
      <c r="AP38" s="157">
        <v>-828.86</v>
      </c>
      <c r="AQ38" s="158">
        <v>1160.5</v>
      </c>
      <c r="AR38" s="180">
        <v>2402.88</v>
      </c>
      <c r="AS38" s="155">
        <v>-682.27</v>
      </c>
      <c r="AT38" s="156">
        <v>768.5</v>
      </c>
      <c r="AU38" s="108">
        <f t="shared" si="0"/>
        <v>14351.75</v>
      </c>
      <c r="AV38" s="177" t="s">
        <v>99</v>
      </c>
      <c r="AW38" s="199">
        <v>-5000</v>
      </c>
      <c r="AX38" s="214">
        <v>12773.67</v>
      </c>
      <c r="AY38" s="134">
        <v>18</v>
      </c>
      <c r="BA38" s="220" t="s">
        <v>100</v>
      </c>
      <c r="BB38" s="220" t="s">
        <v>101</v>
      </c>
      <c r="BC38" s="220" t="s">
        <v>30</v>
      </c>
      <c r="BD38" s="220" t="s">
        <v>102</v>
      </c>
      <c r="BE38" s="220" t="s">
        <v>103</v>
      </c>
      <c r="BF38" s="220" t="s">
        <v>104</v>
      </c>
      <c r="BH38" s="220" t="s">
        <v>100</v>
      </c>
      <c r="BI38" s="220" t="s">
        <v>105</v>
      </c>
      <c r="BJ38" s="220" t="s">
        <v>102</v>
      </c>
      <c r="BK38" s="220" t="s">
        <v>106</v>
      </c>
      <c r="BL38" s="220" t="s">
        <v>107</v>
      </c>
      <c r="BM38" s="220" t="s">
        <v>108</v>
      </c>
      <c r="BN38" s="220" t="s">
        <v>109</v>
      </c>
      <c r="BP38" s="220" t="s">
        <v>100</v>
      </c>
      <c r="BQ38" s="220" t="s">
        <v>30</v>
      </c>
      <c r="BR38" s="220" t="s">
        <v>110</v>
      </c>
      <c r="BS38" s="220" t="s">
        <v>111</v>
      </c>
      <c r="BT38" s="95"/>
      <c r="BU38" s="95"/>
    </row>
    <row r="39" spans="1:73" s="174" customFormat="1" ht="18" x14ac:dyDescent="0.2">
      <c r="A39" s="161" t="s">
        <v>112</v>
      </c>
      <c r="B39" s="211"/>
      <c r="C39" s="116"/>
      <c r="D39" s="117"/>
      <c r="E39" s="118"/>
      <c r="F39" s="200"/>
      <c r="G39" s="162">
        <v>3375</v>
      </c>
      <c r="H39" s="120"/>
      <c r="I39" s="121"/>
      <c r="J39" s="200"/>
      <c r="K39" s="163">
        <v>1280</v>
      </c>
      <c r="L39" s="162"/>
      <c r="M39" s="122">
        <f t="shared" si="1"/>
        <v>4655</v>
      </c>
      <c r="N39" s="162">
        <v>4400</v>
      </c>
      <c r="O39" s="164">
        <f t="shared" si="2"/>
        <v>255</v>
      </c>
      <c r="P39" s="164">
        <f t="shared" si="3"/>
        <v>-1120</v>
      </c>
      <c r="Q39" s="165"/>
      <c r="S39" s="161" t="s">
        <v>112</v>
      </c>
      <c r="T39" s="115"/>
      <c r="U39" s="123"/>
      <c r="V39" s="166">
        <v>3575</v>
      </c>
      <c r="W39" s="123"/>
      <c r="X39" s="124"/>
      <c r="Y39" s="203"/>
      <c r="Z39" s="121"/>
      <c r="AA39" s="166">
        <v>3300</v>
      </c>
      <c r="AB39" s="121"/>
      <c r="AC39" s="119"/>
      <c r="AD39" s="197">
        <v>0</v>
      </c>
      <c r="AE39" s="203"/>
      <c r="AF39" s="121"/>
      <c r="AG39" s="166">
        <v>3350</v>
      </c>
      <c r="AH39" s="119"/>
      <c r="AI39" s="140">
        <v>1220</v>
      </c>
      <c r="AJ39" s="204"/>
      <c r="AK39" s="135"/>
      <c r="AL39" s="163"/>
      <c r="AM39" s="164"/>
      <c r="AN39" s="168">
        <v>0</v>
      </c>
      <c r="AO39" s="169">
        <v>0</v>
      </c>
      <c r="AP39" s="170"/>
      <c r="AQ39" s="171"/>
      <c r="AR39" s="163"/>
      <c r="AS39" s="168"/>
      <c r="AT39" s="169"/>
      <c r="AU39" s="108">
        <f t="shared" si="0"/>
        <v>11445</v>
      </c>
      <c r="AV39" s="172" t="s">
        <v>113</v>
      </c>
      <c r="AW39" s="202">
        <v>-5000</v>
      </c>
      <c r="AX39" s="212">
        <v>12805.96</v>
      </c>
      <c r="AY39" s="111"/>
      <c r="BA39" s="221" t="s">
        <v>114</v>
      </c>
      <c r="BB39" s="222" t="s">
        <v>115</v>
      </c>
      <c r="BC39" s="223">
        <v>175</v>
      </c>
      <c r="BD39" s="224">
        <f>(BE39+BE40)/4/2</f>
        <v>167.44666666666669</v>
      </c>
      <c r="BE39" s="225">
        <f t="shared" ref="BE39:BE46" si="4">BF39/6</f>
        <v>1060.5733333333335</v>
      </c>
      <c r="BF39" s="226">
        <f>-(AN11+AN13+AN15+AN17+AN19+AN21)</f>
        <v>6363.4400000000005</v>
      </c>
      <c r="BH39" s="221" t="s">
        <v>114</v>
      </c>
      <c r="BI39" s="227">
        <v>65</v>
      </c>
      <c r="BJ39" s="228">
        <f>BL40+BK40*100/4/2/1200</f>
        <v>61.627466666666663</v>
      </c>
      <c r="BK39" s="229"/>
      <c r="BL39" s="230">
        <v>51.73</v>
      </c>
      <c r="BM39" s="230">
        <v>8.4600000000000009</v>
      </c>
      <c r="BN39" s="231">
        <v>39.22</v>
      </c>
      <c r="BP39" s="221" t="s">
        <v>114</v>
      </c>
      <c r="BQ39" s="227">
        <v>14.5</v>
      </c>
      <c r="BR39" s="228">
        <f>(BS39*0.8+BS40*0.2)</f>
        <v>12.386200000000001</v>
      </c>
      <c r="BS39" s="231">
        <v>13.581</v>
      </c>
      <c r="BT39" s="95"/>
      <c r="BU39" s="95"/>
    </row>
    <row r="40" spans="1:73" s="174" customFormat="1" x14ac:dyDescent="0.2">
      <c r="A40" s="161" t="s">
        <v>116</v>
      </c>
      <c r="B40" s="211"/>
      <c r="C40" s="116"/>
      <c r="D40" s="117"/>
      <c r="E40" s="118"/>
      <c r="F40" s="200"/>
      <c r="G40" s="162">
        <v>3375</v>
      </c>
      <c r="H40" s="120"/>
      <c r="I40" s="121"/>
      <c r="J40" s="200"/>
      <c r="K40" s="163"/>
      <c r="L40" s="162"/>
      <c r="M40" s="122">
        <f t="shared" si="1"/>
        <v>3375</v>
      </c>
      <c r="N40" s="162">
        <v>4400</v>
      </c>
      <c r="O40" s="164">
        <f t="shared" si="2"/>
        <v>-1025</v>
      </c>
      <c r="P40" s="164">
        <f t="shared" si="3"/>
        <v>-2145</v>
      </c>
      <c r="Q40" s="165"/>
      <c r="S40" s="175" t="s">
        <v>116</v>
      </c>
      <c r="T40" s="115"/>
      <c r="U40" s="123"/>
      <c r="V40" s="210">
        <v>0</v>
      </c>
      <c r="W40" s="123"/>
      <c r="X40" s="124"/>
      <c r="Y40" s="203"/>
      <c r="Z40" s="121"/>
      <c r="AA40" s="166">
        <v>3300</v>
      </c>
      <c r="AB40" s="121"/>
      <c r="AC40" s="119"/>
      <c r="AD40" s="197">
        <v>0</v>
      </c>
      <c r="AE40" s="203"/>
      <c r="AF40" s="121" t="s">
        <v>98</v>
      </c>
      <c r="AG40" s="166">
        <v>3350</v>
      </c>
      <c r="AH40" s="119"/>
      <c r="AI40" s="140">
        <v>1220</v>
      </c>
      <c r="AJ40" s="152">
        <v>1280</v>
      </c>
      <c r="AK40" s="135"/>
      <c r="AL40" s="180"/>
      <c r="AM40" s="176"/>
      <c r="AN40" s="155"/>
      <c r="AO40" s="156"/>
      <c r="AP40" s="157">
        <v>-749.79</v>
      </c>
      <c r="AQ40" s="232">
        <v>1470.6</v>
      </c>
      <c r="AR40" s="180">
        <v>3044.64</v>
      </c>
      <c r="AS40" s="155">
        <v>-695.78</v>
      </c>
      <c r="AT40" s="156">
        <v>638</v>
      </c>
      <c r="AU40" s="108">
        <f t="shared" si="0"/>
        <v>12857.669999999998</v>
      </c>
      <c r="AV40" s="177"/>
      <c r="AW40" s="233">
        <v>-5000</v>
      </c>
      <c r="AX40" s="214">
        <v>12876.99</v>
      </c>
      <c r="AY40" s="134">
        <v>19</v>
      </c>
      <c r="BA40" s="234"/>
      <c r="BB40" s="235" t="s">
        <v>117</v>
      </c>
      <c r="BC40" s="236"/>
      <c r="BD40" s="237"/>
      <c r="BE40" s="238">
        <f t="shared" si="4"/>
        <v>279</v>
      </c>
      <c r="BF40" s="239">
        <f>-(AO11+AO13+AO15+AO17+AO19+AO21)</f>
        <v>1674</v>
      </c>
      <c r="BH40" s="234"/>
      <c r="BI40" s="240"/>
      <c r="BJ40" s="241"/>
      <c r="BK40" s="242">
        <f>BM40+BN40</f>
        <v>56.2624</v>
      </c>
      <c r="BL40" s="243">
        <f>BL39*1.18</f>
        <v>61.041399999999996</v>
      </c>
      <c r="BM40" s="243">
        <f>BM39*1.18</f>
        <v>9.982800000000001</v>
      </c>
      <c r="BN40" s="244">
        <f>BN39*1.18</f>
        <v>46.279599999999995</v>
      </c>
      <c r="BP40" s="234"/>
      <c r="BQ40" s="240"/>
      <c r="BR40" s="241"/>
      <c r="BS40" s="244">
        <v>7.6070000000000002</v>
      </c>
      <c r="BT40" s="95"/>
      <c r="BU40" s="95"/>
    </row>
    <row r="41" spans="1:73" s="95" customFormat="1" ht="18" x14ac:dyDescent="0.2">
      <c r="A41" s="139" t="s">
        <v>118</v>
      </c>
      <c r="B41" s="115"/>
      <c r="C41" s="245"/>
      <c r="D41" s="117"/>
      <c r="E41" s="118"/>
      <c r="F41" s="200">
        <v>3300</v>
      </c>
      <c r="G41" s="162">
        <v>3375</v>
      </c>
      <c r="H41" s="120"/>
      <c r="I41" s="121"/>
      <c r="J41" s="200"/>
      <c r="K41" s="163"/>
      <c r="L41" s="162"/>
      <c r="M41" s="122">
        <f t="shared" si="1"/>
        <v>6675</v>
      </c>
      <c r="N41" s="162">
        <v>4400</v>
      </c>
      <c r="O41" s="164">
        <f t="shared" si="2"/>
        <v>2275</v>
      </c>
      <c r="P41" s="164">
        <f t="shared" si="3"/>
        <v>130</v>
      </c>
      <c r="Q41" s="165"/>
      <c r="S41" s="139" t="s">
        <v>118</v>
      </c>
      <c r="T41" s="115"/>
      <c r="U41" s="123"/>
      <c r="V41" s="123"/>
      <c r="W41" s="166">
        <v>3500</v>
      </c>
      <c r="X41" s="124"/>
      <c r="Y41" s="203"/>
      <c r="Z41" s="121"/>
      <c r="AA41" s="179">
        <v>0</v>
      </c>
      <c r="AB41" s="121"/>
      <c r="AC41" s="119"/>
      <c r="AD41" s="197">
        <v>0</v>
      </c>
      <c r="AE41" s="203"/>
      <c r="AF41" s="121" t="s">
        <v>98</v>
      </c>
      <c r="AG41" s="166">
        <v>3350</v>
      </c>
      <c r="AH41" s="119"/>
      <c r="AI41" s="140">
        <v>1220</v>
      </c>
      <c r="AJ41" s="200">
        <v>1280</v>
      </c>
      <c r="AK41" s="135"/>
      <c r="AL41" s="163">
        <v>-1500</v>
      </c>
      <c r="AM41" s="164"/>
      <c r="AN41" s="168">
        <v>0</v>
      </c>
      <c r="AO41" s="169">
        <v>0</v>
      </c>
      <c r="AP41" s="170"/>
      <c r="AQ41" s="171"/>
      <c r="AR41" s="163"/>
      <c r="AS41" s="168"/>
      <c r="AT41" s="169"/>
      <c r="AU41" s="108">
        <f t="shared" si="0"/>
        <v>7850</v>
      </c>
      <c r="AV41" s="172" t="s">
        <v>119</v>
      </c>
      <c r="AW41" s="246"/>
      <c r="AX41" s="212">
        <v>12857.62</v>
      </c>
      <c r="AY41" s="111"/>
      <c r="BA41" s="221" t="s">
        <v>120</v>
      </c>
      <c r="BB41" s="222" t="s">
        <v>115</v>
      </c>
      <c r="BC41" s="223">
        <v>375</v>
      </c>
      <c r="BD41" s="224">
        <f>(BE41+BE42)/4/2</f>
        <v>348.08770833333335</v>
      </c>
      <c r="BE41" s="225">
        <f t="shared" si="4"/>
        <v>1306.6633333333332</v>
      </c>
      <c r="BF41" s="226">
        <f>-(AN23+AN25+AN27+AN29+AN31+AN33)</f>
        <v>7839.98</v>
      </c>
      <c r="BH41" s="221" t="s">
        <v>120</v>
      </c>
      <c r="BI41" s="227">
        <v>65</v>
      </c>
      <c r="BJ41" s="228">
        <f>BL42+BK42*100/4/2/1200</f>
        <v>61.258102083333334</v>
      </c>
      <c r="BK41" s="247"/>
      <c r="BL41" s="230">
        <v>51.34</v>
      </c>
      <c r="BM41" s="230">
        <v>15.1</v>
      </c>
      <c r="BN41" s="231">
        <v>39.97</v>
      </c>
      <c r="BP41" s="221" t="s">
        <v>120</v>
      </c>
      <c r="BQ41" s="227">
        <v>14.5</v>
      </c>
      <c r="BR41" s="228">
        <f>(BS41*0.8+BS42*0.2)</f>
        <v>13.483600000000001</v>
      </c>
      <c r="BS41" s="231">
        <v>14.834</v>
      </c>
    </row>
    <row r="42" spans="1:73" s="174" customFormat="1" x14ac:dyDescent="0.2">
      <c r="A42" s="161" t="s">
        <v>121</v>
      </c>
      <c r="B42" s="115"/>
      <c r="C42" s="245"/>
      <c r="D42" s="117"/>
      <c r="E42" s="118"/>
      <c r="F42" s="200"/>
      <c r="G42" s="162">
        <v>3375</v>
      </c>
      <c r="H42" s="120"/>
      <c r="I42" s="121"/>
      <c r="J42" s="200"/>
      <c r="K42" s="135"/>
      <c r="L42" s="162"/>
      <c r="M42" s="122">
        <f t="shared" si="1"/>
        <v>3375</v>
      </c>
      <c r="N42" s="162">
        <v>4400</v>
      </c>
      <c r="O42" s="164">
        <f t="shared" si="2"/>
        <v>-1025</v>
      </c>
      <c r="P42" s="164">
        <f t="shared" si="3"/>
        <v>-895</v>
      </c>
      <c r="Q42" s="165"/>
      <c r="S42" s="161" t="s">
        <v>121</v>
      </c>
      <c r="T42" s="115"/>
      <c r="U42" s="123"/>
      <c r="V42" s="123"/>
      <c r="W42" s="148">
        <v>3500</v>
      </c>
      <c r="X42" s="124"/>
      <c r="Y42" s="203"/>
      <c r="Z42" s="121"/>
      <c r="AA42" s="166">
        <v>3300</v>
      </c>
      <c r="AB42" s="121"/>
      <c r="AC42" s="119"/>
      <c r="AD42" s="197">
        <v>0</v>
      </c>
      <c r="AE42" s="203"/>
      <c r="AF42" s="121"/>
      <c r="AG42" s="148">
        <v>3350</v>
      </c>
      <c r="AH42" s="119"/>
      <c r="AI42" s="248">
        <v>0</v>
      </c>
      <c r="AJ42" s="249">
        <v>600</v>
      </c>
      <c r="AK42" s="135"/>
      <c r="AL42" s="180"/>
      <c r="AM42" s="176"/>
      <c r="AN42" s="155"/>
      <c r="AO42" s="156"/>
      <c r="AP42" s="157">
        <v>-1186.74</v>
      </c>
      <c r="AQ42" s="158">
        <v>2257.6999999999998</v>
      </c>
      <c r="AR42" s="180">
        <v>2652.96</v>
      </c>
      <c r="AS42" s="155">
        <v>-443.05</v>
      </c>
      <c r="AT42" s="156">
        <v>580</v>
      </c>
      <c r="AU42" s="108">
        <f t="shared" si="0"/>
        <v>14610.869999999999</v>
      </c>
      <c r="AV42" s="177" t="s">
        <v>122</v>
      </c>
      <c r="AW42" s="246"/>
      <c r="AX42" s="214">
        <v>12876.99</v>
      </c>
      <c r="AY42" s="134">
        <v>20</v>
      </c>
      <c r="BA42" s="234"/>
      <c r="BB42" s="235" t="s">
        <v>117</v>
      </c>
      <c r="BC42" s="236"/>
      <c r="BD42" s="237"/>
      <c r="BE42" s="238">
        <f t="shared" si="4"/>
        <v>1478.0383333333336</v>
      </c>
      <c r="BF42" s="239">
        <f>-(AO23+AO25+AO27+AO29+AO31+AO33)</f>
        <v>8868.2300000000014</v>
      </c>
      <c r="BH42" s="234"/>
      <c r="BI42" s="240"/>
      <c r="BJ42" s="241"/>
      <c r="BK42" s="242">
        <f>BM42+BN42</f>
        <v>64.982599999999991</v>
      </c>
      <c r="BL42" s="243">
        <f>BL41*1.18</f>
        <v>60.581200000000003</v>
      </c>
      <c r="BM42" s="243">
        <f>BM41*1.18</f>
        <v>17.817999999999998</v>
      </c>
      <c r="BN42" s="244">
        <f>BN41*1.18</f>
        <v>47.164599999999993</v>
      </c>
      <c r="BP42" s="250"/>
      <c r="BQ42" s="251"/>
      <c r="BR42" s="241"/>
      <c r="BS42" s="252">
        <v>8.0820000000000007</v>
      </c>
      <c r="BT42" s="95"/>
      <c r="BU42" s="95"/>
    </row>
    <row r="43" spans="1:73" s="174" customFormat="1" ht="18" x14ac:dyDescent="0.2">
      <c r="A43" s="161" t="s">
        <v>123</v>
      </c>
      <c r="B43" s="115"/>
      <c r="C43" s="245"/>
      <c r="D43" s="117"/>
      <c r="E43" s="118"/>
      <c r="F43" s="200"/>
      <c r="G43" s="162">
        <v>3375</v>
      </c>
      <c r="H43" s="120"/>
      <c r="I43" s="121"/>
      <c r="J43" s="200"/>
      <c r="K43" s="135"/>
      <c r="L43" s="162"/>
      <c r="M43" s="122">
        <f t="shared" si="1"/>
        <v>3375</v>
      </c>
      <c r="N43" s="162">
        <v>4400</v>
      </c>
      <c r="O43" s="164">
        <f t="shared" si="2"/>
        <v>-1025</v>
      </c>
      <c r="P43" s="164">
        <f t="shared" si="3"/>
        <v>-1920</v>
      </c>
      <c r="Q43" s="165"/>
      <c r="S43" s="161" t="s">
        <v>123</v>
      </c>
      <c r="T43" s="115"/>
      <c r="U43" s="123"/>
      <c r="V43" s="123"/>
      <c r="W43" s="166">
        <v>3500</v>
      </c>
      <c r="X43" s="124"/>
      <c r="Y43" s="203"/>
      <c r="Z43" s="121"/>
      <c r="AA43" s="148">
        <v>3300</v>
      </c>
      <c r="AB43" s="121"/>
      <c r="AC43" s="119"/>
      <c r="AD43" s="197">
        <v>0</v>
      </c>
      <c r="AE43" s="203"/>
      <c r="AF43" s="121" t="s">
        <v>98</v>
      </c>
      <c r="AG43" s="148">
        <v>3350</v>
      </c>
      <c r="AH43" s="119"/>
      <c r="AI43" s="248">
        <v>0</v>
      </c>
      <c r="AJ43" s="249">
        <v>0</v>
      </c>
      <c r="AK43" s="135"/>
      <c r="AL43" s="163"/>
      <c r="AM43" s="164"/>
      <c r="AN43" s="168">
        <v>0</v>
      </c>
      <c r="AO43" s="169">
        <v>0</v>
      </c>
      <c r="AP43" s="170"/>
      <c r="AQ43" s="171"/>
      <c r="AR43" s="163"/>
      <c r="AS43" s="168"/>
      <c r="AT43" s="169"/>
      <c r="AU43" s="108">
        <f t="shared" si="0"/>
        <v>10150</v>
      </c>
      <c r="AV43" s="172"/>
      <c r="AW43" s="246"/>
      <c r="AX43" s="212">
        <v>12902.82</v>
      </c>
      <c r="AY43" s="111"/>
      <c r="BA43" s="250">
        <v>2025</v>
      </c>
      <c r="BB43" s="253" t="s">
        <v>115</v>
      </c>
      <c r="BC43" s="254">
        <v>375</v>
      </c>
      <c r="BD43" s="255">
        <f>(BE43+BE44)/4/2</f>
        <v>360.77499999999998</v>
      </c>
      <c r="BE43" s="256">
        <f t="shared" si="4"/>
        <v>1378.0833333333333</v>
      </c>
      <c r="BF43" s="257">
        <f>-AN35</f>
        <v>8268.5</v>
      </c>
      <c r="BH43" s="221">
        <v>2025</v>
      </c>
      <c r="BI43" s="227">
        <v>65</v>
      </c>
      <c r="BJ43" s="228">
        <f>BL44+BK44*100/4/2/1200</f>
        <v>62.656156249999995</v>
      </c>
      <c r="BK43" s="229"/>
      <c r="BL43" s="230">
        <v>52.52</v>
      </c>
      <c r="BM43" s="230">
        <v>14.91</v>
      </c>
      <c r="BN43" s="231">
        <v>40.619999999999997</v>
      </c>
      <c r="BP43" s="221">
        <v>2025</v>
      </c>
      <c r="BQ43" s="227">
        <v>14.5</v>
      </c>
      <c r="BR43" s="228">
        <f>(BS43*0.8+BS44*0.2)</f>
        <v>13.86</v>
      </c>
      <c r="BS43" s="231">
        <v>15.26</v>
      </c>
      <c r="BT43" s="95"/>
      <c r="BU43" s="95"/>
    </row>
    <row r="44" spans="1:73" s="174" customFormat="1" x14ac:dyDescent="0.2">
      <c r="A44" s="161" t="s">
        <v>124</v>
      </c>
      <c r="B44" s="115"/>
      <c r="C44" s="245"/>
      <c r="D44" s="117"/>
      <c r="E44" s="118"/>
      <c r="F44" s="119"/>
      <c r="G44" s="162">
        <v>3375</v>
      </c>
      <c r="H44" s="120"/>
      <c r="I44" s="121"/>
      <c r="J44" s="200">
        <v>3350</v>
      </c>
      <c r="K44" s="135"/>
      <c r="L44" s="162"/>
      <c r="M44" s="122">
        <f t="shared" si="1"/>
        <v>6725</v>
      </c>
      <c r="N44" s="162">
        <v>4400</v>
      </c>
      <c r="O44" s="164">
        <f t="shared" si="2"/>
        <v>2325</v>
      </c>
      <c r="P44" s="164">
        <f t="shared" si="3"/>
        <v>405</v>
      </c>
      <c r="Q44" s="165"/>
      <c r="S44" s="161" t="s">
        <v>124</v>
      </c>
      <c r="T44" s="115"/>
      <c r="U44" s="123"/>
      <c r="V44" s="123"/>
      <c r="W44" s="148">
        <v>3500</v>
      </c>
      <c r="X44" s="124"/>
      <c r="Y44" s="203"/>
      <c r="Z44" s="121"/>
      <c r="AA44" s="121"/>
      <c r="AB44" s="148">
        <v>3500</v>
      </c>
      <c r="AC44" s="119">
        <v>500</v>
      </c>
      <c r="AD44" s="197">
        <v>0</v>
      </c>
      <c r="AE44" s="203"/>
      <c r="AF44" s="121"/>
      <c r="AG44" s="179"/>
      <c r="AH44" s="119"/>
      <c r="AI44" s="258"/>
      <c r="AJ44" s="117"/>
      <c r="AK44" s="180">
        <v>2200</v>
      </c>
      <c r="AL44" s="180"/>
      <c r="AM44" s="176"/>
      <c r="AN44" s="155"/>
      <c r="AO44" s="156"/>
      <c r="AP44" s="157">
        <v>-1088.08</v>
      </c>
      <c r="AQ44" s="158">
        <v>1485</v>
      </c>
      <c r="AR44" s="180">
        <v>2522.88</v>
      </c>
      <c r="AS44" s="155">
        <v>-488.47</v>
      </c>
      <c r="AT44" s="156">
        <v>480</v>
      </c>
      <c r="AU44" s="108">
        <f t="shared" si="0"/>
        <v>12611.33</v>
      </c>
      <c r="AV44" s="177"/>
      <c r="AW44" s="246"/>
      <c r="AX44" s="214">
        <v>12948.02</v>
      </c>
      <c r="AY44" s="134">
        <v>21</v>
      </c>
      <c r="BA44" s="234"/>
      <c r="BB44" s="235" t="s">
        <v>117</v>
      </c>
      <c r="BC44" s="236"/>
      <c r="BD44" s="237"/>
      <c r="BE44" s="238">
        <f t="shared" si="4"/>
        <v>1508.1166666666668</v>
      </c>
      <c r="BF44" s="239">
        <f>-AO35</f>
        <v>9048.7000000000007</v>
      </c>
      <c r="BH44" s="234"/>
      <c r="BI44" s="240"/>
      <c r="BJ44" s="241"/>
      <c r="BK44" s="242">
        <f>BM44+BN44</f>
        <v>65.525399999999991</v>
      </c>
      <c r="BL44" s="243">
        <f>BL43*1.18</f>
        <v>61.973599999999998</v>
      </c>
      <c r="BM44" s="243">
        <f>BM43*1.18</f>
        <v>17.593799999999998</v>
      </c>
      <c r="BN44" s="244">
        <f>BN43*1.18</f>
        <v>47.931599999999996</v>
      </c>
      <c r="BP44" s="234"/>
      <c r="BQ44" s="240"/>
      <c r="BR44" s="241"/>
      <c r="BS44" s="244">
        <v>8.26</v>
      </c>
      <c r="BT44" s="95"/>
      <c r="BU44" s="95"/>
    </row>
    <row r="45" spans="1:73" s="174" customFormat="1" ht="18" x14ac:dyDescent="0.2">
      <c r="A45" s="161" t="s">
        <v>125</v>
      </c>
      <c r="B45" s="115"/>
      <c r="C45" s="245"/>
      <c r="D45" s="117"/>
      <c r="E45" s="118"/>
      <c r="F45" s="119"/>
      <c r="G45" s="162">
        <v>3375</v>
      </c>
      <c r="H45" s="120"/>
      <c r="I45" s="121"/>
      <c r="J45" s="119"/>
      <c r="K45" s="135"/>
      <c r="L45" s="162"/>
      <c r="M45" s="122">
        <f t="shared" si="1"/>
        <v>3375</v>
      </c>
      <c r="N45" s="162">
        <v>4400</v>
      </c>
      <c r="O45" s="164">
        <f>M45-N45</f>
        <v>-1025</v>
      </c>
      <c r="P45" s="164">
        <f t="shared" si="3"/>
        <v>-620</v>
      </c>
      <c r="Q45" s="165"/>
      <c r="S45" s="161" t="s">
        <v>125</v>
      </c>
      <c r="T45" s="115"/>
      <c r="U45" s="123"/>
      <c r="V45" s="123"/>
      <c r="W45" s="166">
        <v>3500</v>
      </c>
      <c r="X45" s="124"/>
      <c r="Y45" s="203"/>
      <c r="Z45" s="121"/>
      <c r="AA45" s="121"/>
      <c r="AB45" s="210">
        <v>0</v>
      </c>
      <c r="AC45" s="119"/>
      <c r="AD45" s="197">
        <v>0</v>
      </c>
      <c r="AE45" s="203"/>
      <c r="AF45" s="121" t="s">
        <v>98</v>
      </c>
      <c r="AG45" s="121" t="s">
        <v>98</v>
      </c>
      <c r="AH45" s="259">
        <v>3575</v>
      </c>
      <c r="AI45" s="258"/>
      <c r="AJ45" s="117"/>
      <c r="AK45" s="163">
        <v>2200</v>
      </c>
      <c r="AL45" s="163"/>
      <c r="AM45" s="164"/>
      <c r="AN45" s="168">
        <v>0</v>
      </c>
      <c r="AO45" s="169">
        <v>0</v>
      </c>
      <c r="AP45" s="170"/>
      <c r="AQ45" s="171"/>
      <c r="AR45" s="163"/>
      <c r="AS45" s="168"/>
      <c r="AT45" s="169"/>
      <c r="AU45" s="108">
        <f t="shared" si="0"/>
        <v>9275</v>
      </c>
      <c r="AV45" s="172"/>
      <c r="AW45" s="260"/>
      <c r="AX45" s="212">
        <v>12909.28</v>
      </c>
      <c r="AY45" s="111"/>
      <c r="BA45" s="221" t="s">
        <v>126</v>
      </c>
      <c r="BB45" s="222" t="s">
        <v>115</v>
      </c>
      <c r="BC45" s="223">
        <v>375</v>
      </c>
      <c r="BD45" s="224">
        <f>(BE45+BE46)/4/2</f>
        <v>366.64166666666665</v>
      </c>
      <c r="BE45" s="225">
        <f t="shared" si="4"/>
        <v>1400.5166666666667</v>
      </c>
      <c r="BF45" s="226">
        <f>-AN47</f>
        <v>8403.1</v>
      </c>
      <c r="BH45" s="221" t="s">
        <v>126</v>
      </c>
      <c r="BI45" s="227">
        <v>65</v>
      </c>
      <c r="BJ45" s="228">
        <f>BL46+BK46*100/4/2/1200</f>
        <v>64.779172916666667</v>
      </c>
      <c r="BK45" s="229"/>
      <c r="BL45" s="230">
        <v>54.25</v>
      </c>
      <c r="BM45" s="230">
        <v>15.59</v>
      </c>
      <c r="BN45" s="231">
        <v>46.58</v>
      </c>
      <c r="BP45" s="221" t="s">
        <v>126</v>
      </c>
      <c r="BQ45" s="227">
        <v>14.5</v>
      </c>
      <c r="BR45" s="228">
        <f>(BS45*0.8+BS46*0.2)</f>
        <v>0</v>
      </c>
      <c r="BS45" s="261"/>
      <c r="BT45" s="95"/>
      <c r="BU45" s="95"/>
    </row>
    <row r="46" spans="1:73" s="95" customFormat="1" x14ac:dyDescent="0.2">
      <c r="A46" s="139" t="s">
        <v>127</v>
      </c>
      <c r="B46" s="115"/>
      <c r="C46" s="245"/>
      <c r="D46" s="117"/>
      <c r="E46" s="118"/>
      <c r="F46" s="119"/>
      <c r="G46" s="162">
        <v>3375</v>
      </c>
      <c r="H46" s="120"/>
      <c r="I46" s="121"/>
      <c r="J46" s="119"/>
      <c r="K46" s="135"/>
      <c r="L46" s="162"/>
      <c r="M46" s="122">
        <f t="shared" si="1"/>
        <v>3375</v>
      </c>
      <c r="N46" s="162">
        <v>4400</v>
      </c>
      <c r="O46" s="164">
        <f>M46-N46</f>
        <v>-1025</v>
      </c>
      <c r="P46" s="164">
        <f>O46+P45</f>
        <v>-1645</v>
      </c>
      <c r="Q46" s="165"/>
      <c r="S46" s="139" t="s">
        <v>127</v>
      </c>
      <c r="T46" s="115"/>
      <c r="U46" s="123"/>
      <c r="V46" s="123"/>
      <c r="W46" s="148">
        <v>3500</v>
      </c>
      <c r="X46" s="124"/>
      <c r="Y46" s="203"/>
      <c r="Z46" s="121"/>
      <c r="AA46" s="121"/>
      <c r="AB46" s="121"/>
      <c r="AC46" s="152">
        <v>2875</v>
      </c>
      <c r="AD46" s="197">
        <v>0</v>
      </c>
      <c r="AE46" s="203"/>
      <c r="AF46" s="121" t="s">
        <v>98</v>
      </c>
      <c r="AG46" s="121"/>
      <c r="AH46" s="152">
        <v>3500</v>
      </c>
      <c r="AI46" s="258"/>
      <c r="AJ46" s="117"/>
      <c r="AK46" s="180">
        <v>2200</v>
      </c>
      <c r="AL46" s="180"/>
      <c r="AM46" s="176"/>
      <c r="AN46" s="155"/>
      <c r="AO46" s="156"/>
      <c r="AP46" s="157">
        <v>-723.29</v>
      </c>
      <c r="AQ46" s="158">
        <v>1234</v>
      </c>
      <c r="AR46" s="180">
        <v>1397.76</v>
      </c>
      <c r="AS46" s="155">
        <v>-442.9</v>
      </c>
      <c r="AT46" s="156">
        <v>594.5</v>
      </c>
      <c r="AU46" s="108">
        <f t="shared" si="0"/>
        <v>14135.07</v>
      </c>
      <c r="AV46" s="177"/>
      <c r="AW46" s="246"/>
      <c r="AX46" s="214">
        <v>12904</v>
      </c>
      <c r="AY46" s="134">
        <v>22</v>
      </c>
      <c r="BA46" s="234"/>
      <c r="BB46" s="235" t="s">
        <v>117</v>
      </c>
      <c r="BC46" s="236"/>
      <c r="BD46" s="237"/>
      <c r="BE46" s="238">
        <f t="shared" si="4"/>
        <v>1532.6166666666668</v>
      </c>
      <c r="BF46" s="239">
        <f>-AO47</f>
        <v>9195.7000000000007</v>
      </c>
      <c r="BH46" s="234"/>
      <c r="BI46" s="240"/>
      <c r="BJ46" s="241"/>
      <c r="BK46" s="242">
        <f>BM46+BN46</f>
        <v>73.360600000000005</v>
      </c>
      <c r="BL46" s="243">
        <f>BL45*1.18</f>
        <v>64.015000000000001</v>
      </c>
      <c r="BM46" s="243">
        <f>BM45*1.18</f>
        <v>18.3962</v>
      </c>
      <c r="BN46" s="244">
        <f>BN45*1.18</f>
        <v>54.964399999999998</v>
      </c>
      <c r="BP46" s="234"/>
      <c r="BQ46" s="262"/>
      <c r="BR46" s="241"/>
      <c r="BS46" s="244"/>
    </row>
    <row r="47" spans="1:73" s="174" customFormat="1" ht="18" x14ac:dyDescent="0.2">
      <c r="A47" s="161" t="s">
        <v>128</v>
      </c>
      <c r="B47" s="115"/>
      <c r="C47" s="245"/>
      <c r="D47" s="117"/>
      <c r="E47" s="118"/>
      <c r="F47" s="119"/>
      <c r="G47" s="162">
        <v>3375</v>
      </c>
      <c r="H47" s="120"/>
      <c r="I47" s="121"/>
      <c r="J47" s="119"/>
      <c r="K47" s="135"/>
      <c r="L47" s="162"/>
      <c r="M47" s="122">
        <f t="shared" si="1"/>
        <v>3375</v>
      </c>
      <c r="N47" s="162">
        <v>4400</v>
      </c>
      <c r="O47" s="164">
        <f>M47-N47</f>
        <v>-1025</v>
      </c>
      <c r="P47" s="164">
        <f>O47+P46</f>
        <v>-2670</v>
      </c>
      <c r="Q47" s="165"/>
      <c r="S47" s="161" t="s">
        <v>128</v>
      </c>
      <c r="T47" s="115"/>
      <c r="U47" s="123"/>
      <c r="V47" s="123"/>
      <c r="W47" s="263">
        <v>3500</v>
      </c>
      <c r="X47" s="124"/>
      <c r="Y47" s="203"/>
      <c r="Z47" s="121"/>
      <c r="AA47" s="121"/>
      <c r="AB47" s="121"/>
      <c r="AC47" s="200">
        <v>3375</v>
      </c>
      <c r="AD47" s="197">
        <v>0</v>
      </c>
      <c r="AE47" s="203"/>
      <c r="AF47" s="121"/>
      <c r="AG47" s="121" t="s">
        <v>98</v>
      </c>
      <c r="AH47" s="200">
        <v>3600</v>
      </c>
      <c r="AI47" s="258"/>
      <c r="AJ47" s="117"/>
      <c r="AK47" s="163">
        <v>2200</v>
      </c>
      <c r="AL47" s="163"/>
      <c r="AM47" s="164"/>
      <c r="AN47" s="168">
        <v>-8403.1</v>
      </c>
      <c r="AO47" s="169">
        <v>-9195.7000000000007</v>
      </c>
      <c r="AP47" s="170"/>
      <c r="AQ47" s="171"/>
      <c r="AR47" s="163"/>
      <c r="AS47" s="168"/>
      <c r="AT47" s="169"/>
      <c r="AU47" s="108">
        <f t="shared" si="0"/>
        <v>-4923.8000000000011</v>
      </c>
      <c r="AV47" s="172" t="s">
        <v>129</v>
      </c>
      <c r="AW47" s="246"/>
      <c r="AX47" s="212">
        <v>12831.6</v>
      </c>
      <c r="AY47" s="111"/>
      <c r="BA47" s="221" t="s">
        <v>130</v>
      </c>
      <c r="BB47" s="222" t="s">
        <v>131</v>
      </c>
      <c r="BC47" s="223">
        <v>400</v>
      </c>
      <c r="BD47" s="224"/>
      <c r="BE47" s="225"/>
      <c r="BF47" s="226"/>
      <c r="BH47" s="221" t="s">
        <v>130</v>
      </c>
      <c r="BI47" s="227">
        <v>65</v>
      </c>
      <c r="BJ47" s="264"/>
      <c r="BK47" s="265"/>
      <c r="BL47" s="265"/>
      <c r="BM47" s="265"/>
      <c r="BN47" s="266"/>
      <c r="BP47" s="221" t="s">
        <v>130</v>
      </c>
      <c r="BQ47" s="227">
        <v>14.5</v>
      </c>
      <c r="BR47" s="228">
        <f>(BS47*0.8+BS48*0.2)</f>
        <v>0</v>
      </c>
      <c r="BS47" s="231"/>
      <c r="BT47" s="95"/>
      <c r="BU47" s="95"/>
    </row>
    <row r="48" spans="1:73" s="174" customFormat="1" x14ac:dyDescent="0.2">
      <c r="A48" s="161" t="s">
        <v>132</v>
      </c>
      <c r="B48" s="115"/>
      <c r="C48" s="116"/>
      <c r="D48" s="167"/>
      <c r="E48" s="118"/>
      <c r="F48" s="119"/>
      <c r="G48" s="162"/>
      <c r="H48" s="120"/>
      <c r="I48" s="121"/>
      <c r="J48" s="119"/>
      <c r="K48" s="135"/>
      <c r="L48" s="162"/>
      <c r="M48" s="122">
        <f t="shared" si="1"/>
        <v>0</v>
      </c>
      <c r="N48" s="162">
        <v>4400</v>
      </c>
      <c r="O48" s="164"/>
      <c r="P48" s="164"/>
      <c r="Q48" s="165"/>
      <c r="S48" s="161" t="s">
        <v>132</v>
      </c>
      <c r="T48" s="115"/>
      <c r="U48" s="123"/>
      <c r="V48" s="123"/>
      <c r="W48" s="123"/>
      <c r="X48" s="267">
        <v>3770</v>
      </c>
      <c r="Y48" s="203"/>
      <c r="Z48" s="121"/>
      <c r="AA48" s="121"/>
      <c r="AB48" s="121"/>
      <c r="AC48" s="152"/>
      <c r="AD48" s="181"/>
      <c r="AE48" s="203"/>
      <c r="AF48" s="121" t="s">
        <v>98</v>
      </c>
      <c r="AG48" s="121" t="s">
        <v>98</v>
      </c>
      <c r="AH48" s="152"/>
      <c r="AI48" s="258"/>
      <c r="AJ48" s="117"/>
      <c r="AK48" s="180"/>
      <c r="AL48" s="180"/>
      <c r="AM48" s="176"/>
      <c r="AN48" s="155"/>
      <c r="AO48" s="156"/>
      <c r="AP48" s="157"/>
      <c r="AQ48" s="158"/>
      <c r="AR48" s="180"/>
      <c r="AS48" s="155"/>
      <c r="AT48" s="156"/>
      <c r="AU48" s="108">
        <f t="shared" si="0"/>
        <v>3770</v>
      </c>
      <c r="AV48" s="177" t="s">
        <v>133</v>
      </c>
      <c r="AW48" s="246"/>
      <c r="AX48" s="214"/>
      <c r="AY48" s="134">
        <v>23</v>
      </c>
      <c r="BA48" s="234"/>
      <c r="BB48" s="235" t="s">
        <v>134</v>
      </c>
      <c r="BC48" s="236"/>
      <c r="BD48" s="237"/>
      <c r="BE48" s="238"/>
      <c r="BF48" s="239"/>
      <c r="BH48" s="234"/>
      <c r="BI48" s="240"/>
      <c r="BJ48" s="268"/>
      <c r="BK48" s="269"/>
      <c r="BL48" s="269"/>
      <c r="BM48" s="269"/>
      <c r="BN48" s="270"/>
      <c r="BP48" s="234"/>
      <c r="BQ48" s="262"/>
      <c r="BR48" s="241"/>
      <c r="BS48" s="244"/>
      <c r="BT48" s="95"/>
      <c r="BU48" s="95"/>
    </row>
    <row r="49" spans="1:73" s="174" customFormat="1" x14ac:dyDescent="0.2">
      <c r="A49" s="161" t="s">
        <v>135</v>
      </c>
      <c r="B49" s="115"/>
      <c r="C49" s="116"/>
      <c r="D49" s="167"/>
      <c r="E49" s="118"/>
      <c r="F49" s="119"/>
      <c r="G49" s="162"/>
      <c r="H49" s="120"/>
      <c r="I49" s="121"/>
      <c r="J49" s="119"/>
      <c r="K49" s="135"/>
      <c r="L49" s="162"/>
      <c r="M49" s="122">
        <f t="shared" si="1"/>
        <v>0</v>
      </c>
      <c r="N49" s="162">
        <v>4400</v>
      </c>
      <c r="O49" s="164"/>
      <c r="P49" s="164"/>
      <c r="Q49" s="165"/>
      <c r="S49" s="161" t="s">
        <v>135</v>
      </c>
      <c r="T49" s="115"/>
      <c r="U49" s="123"/>
      <c r="V49" s="123"/>
      <c r="W49" s="123"/>
      <c r="X49" s="271"/>
      <c r="Y49" s="203"/>
      <c r="Z49" s="121"/>
      <c r="AA49" s="121"/>
      <c r="AB49" s="121"/>
      <c r="AC49" s="200"/>
      <c r="AD49" s="162"/>
      <c r="AE49" s="203"/>
      <c r="AF49" s="121" t="s">
        <v>98</v>
      </c>
      <c r="AG49" s="121" t="s">
        <v>98</v>
      </c>
      <c r="AH49" s="200"/>
      <c r="AI49" s="258"/>
      <c r="AJ49" s="117"/>
      <c r="AK49" s="163"/>
      <c r="AL49" s="163"/>
      <c r="AM49" s="164"/>
      <c r="AN49" s="168">
        <v>0</v>
      </c>
      <c r="AO49" s="169">
        <v>0</v>
      </c>
      <c r="AP49" s="170"/>
      <c r="AQ49" s="171"/>
      <c r="AR49" s="163"/>
      <c r="AS49" s="168"/>
      <c r="AT49" s="169"/>
      <c r="AU49" s="272"/>
      <c r="AV49" s="172"/>
      <c r="AW49" s="260"/>
      <c r="AX49" s="212"/>
      <c r="AY49" s="111"/>
      <c r="BT49" s="95"/>
      <c r="BU49" s="95"/>
    </row>
    <row r="50" spans="1:73" s="95" customFormat="1" x14ac:dyDescent="0.2">
      <c r="A50" s="139" t="s">
        <v>136</v>
      </c>
      <c r="B50" s="115"/>
      <c r="C50" s="116"/>
      <c r="D50" s="167"/>
      <c r="E50" s="118"/>
      <c r="F50" s="119"/>
      <c r="G50" s="162"/>
      <c r="H50" s="120"/>
      <c r="I50" s="121"/>
      <c r="J50" s="119"/>
      <c r="K50" s="135"/>
      <c r="L50" s="162"/>
      <c r="M50" s="122">
        <f t="shared" si="1"/>
        <v>0</v>
      </c>
      <c r="N50" s="162">
        <v>4400</v>
      </c>
      <c r="O50" s="164"/>
      <c r="P50" s="164"/>
      <c r="Q50" s="165"/>
      <c r="S50" s="139" t="s">
        <v>136</v>
      </c>
      <c r="T50" s="115"/>
      <c r="U50" s="123"/>
      <c r="V50" s="123"/>
      <c r="W50" s="123"/>
      <c r="X50" s="267"/>
      <c r="Y50" s="203"/>
      <c r="Z50" s="121"/>
      <c r="AA50" s="121"/>
      <c r="AB50" s="121"/>
      <c r="AC50" s="152"/>
      <c r="AD50" s="181"/>
      <c r="AE50" s="203"/>
      <c r="AF50" s="121" t="s">
        <v>98</v>
      </c>
      <c r="AG50" s="121"/>
      <c r="AH50" s="152"/>
      <c r="AI50" s="258"/>
      <c r="AJ50" s="117"/>
      <c r="AK50" s="180"/>
      <c r="AL50" s="180"/>
      <c r="AM50" s="176"/>
      <c r="AN50" s="155"/>
      <c r="AO50" s="156"/>
      <c r="AP50" s="157"/>
      <c r="AQ50" s="158"/>
      <c r="AR50" s="180"/>
      <c r="AS50" s="155"/>
      <c r="AT50" s="156"/>
      <c r="AU50" s="108"/>
      <c r="AV50" s="177"/>
      <c r="AW50" s="246"/>
      <c r="AX50" s="214"/>
      <c r="AY50" s="134">
        <v>24</v>
      </c>
      <c r="BA50" s="174"/>
    </row>
    <row r="51" spans="1:73" s="174" customFormat="1" x14ac:dyDescent="0.2">
      <c r="A51" s="161" t="s">
        <v>137</v>
      </c>
      <c r="B51" s="115"/>
      <c r="C51" s="116"/>
      <c r="D51" s="167"/>
      <c r="E51" s="118"/>
      <c r="F51" s="119"/>
      <c r="G51" s="162"/>
      <c r="H51" s="120"/>
      <c r="I51" s="121"/>
      <c r="J51" s="119"/>
      <c r="K51" s="135"/>
      <c r="L51" s="162"/>
      <c r="M51" s="122">
        <f t="shared" si="1"/>
        <v>0</v>
      </c>
      <c r="N51" s="162">
        <v>4400</v>
      </c>
      <c r="O51" s="164"/>
      <c r="P51" s="164"/>
      <c r="Q51" s="165"/>
      <c r="S51" s="161" t="s">
        <v>137</v>
      </c>
      <c r="T51" s="115"/>
      <c r="U51" s="123"/>
      <c r="V51" s="123"/>
      <c r="W51" s="123"/>
      <c r="X51" s="271"/>
      <c r="Y51" s="203"/>
      <c r="Z51" s="121"/>
      <c r="AA51" s="121"/>
      <c r="AB51" s="121"/>
      <c r="AC51" s="200"/>
      <c r="AD51" s="162"/>
      <c r="AE51" s="203"/>
      <c r="AF51" s="121"/>
      <c r="AG51" s="121" t="s">
        <v>98</v>
      </c>
      <c r="AH51" s="200"/>
      <c r="AI51" s="258"/>
      <c r="AJ51" s="117"/>
      <c r="AK51" s="163"/>
      <c r="AL51" s="163"/>
      <c r="AM51" s="164"/>
      <c r="AN51" s="168">
        <v>0</v>
      </c>
      <c r="AO51" s="169">
        <v>0</v>
      </c>
      <c r="AP51" s="170"/>
      <c r="AQ51" s="171"/>
      <c r="AR51" s="163"/>
      <c r="AS51" s="168"/>
      <c r="AT51" s="169"/>
      <c r="AU51" s="108"/>
      <c r="AV51" s="172"/>
      <c r="AW51" s="246"/>
      <c r="AX51" s="212"/>
      <c r="AY51" s="111"/>
      <c r="BT51" s="95"/>
      <c r="BU51" s="95"/>
    </row>
    <row r="52" spans="1:73" s="174" customFormat="1" x14ac:dyDescent="0.2">
      <c r="A52" s="161" t="s">
        <v>138</v>
      </c>
      <c r="B52" s="115"/>
      <c r="C52" s="116"/>
      <c r="D52" s="167"/>
      <c r="E52" s="118"/>
      <c r="F52" s="119"/>
      <c r="G52" s="162"/>
      <c r="H52" s="120"/>
      <c r="I52" s="121"/>
      <c r="J52" s="119"/>
      <c r="K52" s="135"/>
      <c r="L52" s="162"/>
      <c r="M52" s="122">
        <f t="shared" si="1"/>
        <v>0</v>
      </c>
      <c r="N52" s="162">
        <v>4400</v>
      </c>
      <c r="O52" s="164"/>
      <c r="P52" s="164"/>
      <c r="Q52" s="165"/>
      <c r="S52" s="161" t="s">
        <v>138</v>
      </c>
      <c r="T52" s="115"/>
      <c r="U52" s="123"/>
      <c r="V52" s="123"/>
      <c r="W52" s="123"/>
      <c r="X52" s="267"/>
      <c r="Y52" s="203"/>
      <c r="Z52" s="121"/>
      <c r="AA52" s="121"/>
      <c r="AB52" s="121"/>
      <c r="AC52" s="152"/>
      <c r="AD52" s="181"/>
      <c r="AE52" s="203"/>
      <c r="AF52" s="121" t="s">
        <v>98</v>
      </c>
      <c r="AG52" s="121" t="s">
        <v>98</v>
      </c>
      <c r="AH52" s="152"/>
      <c r="AI52" s="258"/>
      <c r="AJ52" s="117"/>
      <c r="AK52" s="180"/>
      <c r="AL52" s="180"/>
      <c r="AM52" s="176"/>
      <c r="AN52" s="155"/>
      <c r="AO52" s="156"/>
      <c r="AP52" s="157"/>
      <c r="AQ52" s="158"/>
      <c r="AR52" s="180"/>
      <c r="AS52" s="155"/>
      <c r="AT52" s="156"/>
      <c r="AU52" s="108"/>
      <c r="AV52" s="177"/>
      <c r="AW52" s="246"/>
      <c r="AX52" s="214"/>
      <c r="AY52" s="134">
        <v>25</v>
      </c>
      <c r="BT52" s="95"/>
      <c r="BU52" s="95"/>
    </row>
    <row r="53" spans="1:73" s="174" customFormat="1" x14ac:dyDescent="0.2">
      <c r="A53" s="161" t="s">
        <v>139</v>
      </c>
      <c r="B53" s="115"/>
      <c r="C53" s="116"/>
      <c r="D53" s="167"/>
      <c r="E53" s="118"/>
      <c r="F53" s="119"/>
      <c r="G53" s="162"/>
      <c r="H53" s="120"/>
      <c r="I53" s="121"/>
      <c r="J53" s="119"/>
      <c r="K53" s="135"/>
      <c r="L53" s="162"/>
      <c r="M53" s="122">
        <f t="shared" si="1"/>
        <v>0</v>
      </c>
      <c r="N53" s="162">
        <v>4400</v>
      </c>
      <c r="O53" s="164"/>
      <c r="P53" s="164"/>
      <c r="Q53" s="165"/>
      <c r="S53" s="161" t="s">
        <v>139</v>
      </c>
      <c r="T53" s="115"/>
      <c r="U53" s="123"/>
      <c r="V53" s="123"/>
      <c r="W53" s="123"/>
      <c r="X53" s="271"/>
      <c r="Y53" s="203"/>
      <c r="Z53" s="121"/>
      <c r="AA53" s="121"/>
      <c r="AB53" s="121"/>
      <c r="AC53" s="200"/>
      <c r="AD53" s="162"/>
      <c r="AE53" s="203"/>
      <c r="AF53" s="121"/>
      <c r="AG53" s="121"/>
      <c r="AH53" s="200"/>
      <c r="AI53" s="258"/>
      <c r="AJ53" s="117"/>
      <c r="AK53" s="163"/>
      <c r="AL53" s="163"/>
      <c r="AM53" s="164"/>
      <c r="AN53" s="168">
        <v>0</v>
      </c>
      <c r="AO53" s="169">
        <v>0</v>
      </c>
      <c r="AP53" s="170"/>
      <c r="AQ53" s="171"/>
      <c r="AR53" s="163"/>
      <c r="AS53" s="168"/>
      <c r="AT53" s="169"/>
      <c r="AU53" s="108"/>
      <c r="AV53" s="172"/>
      <c r="AW53" s="246"/>
      <c r="AX53" s="212"/>
      <c r="AY53" s="111"/>
      <c r="BT53" s="95"/>
      <c r="BU53" s="95"/>
    </row>
    <row r="54" spans="1:73" s="174" customFormat="1" x14ac:dyDescent="0.2">
      <c r="A54" s="139" t="s">
        <v>140</v>
      </c>
      <c r="B54" s="115"/>
      <c r="C54" s="116"/>
      <c r="D54" s="167"/>
      <c r="E54" s="118"/>
      <c r="F54" s="119"/>
      <c r="G54" s="273"/>
      <c r="H54" s="120"/>
      <c r="I54" s="121"/>
      <c r="J54" s="119"/>
      <c r="K54" s="274"/>
      <c r="L54" s="273"/>
      <c r="M54" s="122"/>
      <c r="N54" s="162">
        <v>4400</v>
      </c>
      <c r="O54" s="164"/>
      <c r="P54" s="164"/>
      <c r="Q54" s="275"/>
      <c r="S54" s="139" t="s">
        <v>140</v>
      </c>
      <c r="T54" s="115"/>
      <c r="U54" s="123"/>
      <c r="V54" s="123"/>
      <c r="W54" s="123"/>
      <c r="X54" s="267"/>
      <c r="Y54" s="203"/>
      <c r="Z54" s="121"/>
      <c r="AA54" s="121"/>
      <c r="AB54" s="121"/>
      <c r="AC54" s="152"/>
      <c r="AD54" s="181"/>
      <c r="AE54" s="203"/>
      <c r="AF54" s="121"/>
      <c r="AG54" s="121"/>
      <c r="AH54" s="152"/>
      <c r="AI54" s="276"/>
      <c r="AJ54" s="277"/>
      <c r="AK54" s="180"/>
      <c r="AL54" s="180"/>
      <c r="AM54" s="176"/>
      <c r="AN54" s="155"/>
      <c r="AO54" s="156"/>
      <c r="AP54" s="157"/>
      <c r="AQ54" s="158"/>
      <c r="AR54" s="180"/>
      <c r="AS54" s="155"/>
      <c r="AT54" s="156"/>
      <c r="AU54" s="108"/>
      <c r="AV54" s="177"/>
      <c r="AW54" s="246"/>
      <c r="AX54" s="214"/>
      <c r="AY54" s="134">
        <v>26</v>
      </c>
      <c r="BT54" s="95"/>
      <c r="BU54" s="95"/>
    </row>
    <row r="55" spans="1:73" s="174" customFormat="1" x14ac:dyDescent="0.2">
      <c r="A55" s="161" t="s">
        <v>141</v>
      </c>
      <c r="B55" s="115"/>
      <c r="C55" s="116"/>
      <c r="D55" s="167"/>
      <c r="E55" s="118"/>
      <c r="F55" s="119"/>
      <c r="G55" s="273"/>
      <c r="H55" s="120"/>
      <c r="I55" s="121"/>
      <c r="J55" s="119"/>
      <c r="K55" s="274"/>
      <c r="L55" s="273"/>
      <c r="M55" s="122"/>
      <c r="N55" s="162">
        <v>4400</v>
      </c>
      <c r="O55" s="164"/>
      <c r="P55" s="164"/>
      <c r="Q55" s="275"/>
      <c r="S55" s="161" t="s">
        <v>141</v>
      </c>
      <c r="T55" s="115"/>
      <c r="U55" s="123"/>
      <c r="V55" s="123"/>
      <c r="W55" s="123"/>
      <c r="X55" s="271"/>
      <c r="Y55" s="203"/>
      <c r="Z55" s="121"/>
      <c r="AA55" s="121"/>
      <c r="AB55" s="121"/>
      <c r="AC55" s="200"/>
      <c r="AD55" s="162"/>
      <c r="AE55" s="203"/>
      <c r="AF55" s="121"/>
      <c r="AG55" s="121"/>
      <c r="AH55" s="200"/>
      <c r="AI55" s="276"/>
      <c r="AJ55" s="277"/>
      <c r="AK55" s="163"/>
      <c r="AL55" s="163"/>
      <c r="AM55" s="164"/>
      <c r="AN55" s="168">
        <v>0</v>
      </c>
      <c r="AO55" s="169">
        <v>0</v>
      </c>
      <c r="AP55" s="170"/>
      <c r="AQ55" s="171"/>
      <c r="AR55" s="163"/>
      <c r="AS55" s="168"/>
      <c r="AT55" s="169"/>
      <c r="AU55" s="272"/>
      <c r="AV55" s="172"/>
      <c r="AW55" s="260"/>
      <c r="AX55" s="212"/>
      <c r="AY55" s="111"/>
    </row>
    <row r="56" spans="1:73" s="174" customFormat="1" x14ac:dyDescent="0.2">
      <c r="A56" s="161" t="s">
        <v>142</v>
      </c>
      <c r="B56" s="115"/>
      <c r="C56" s="116"/>
      <c r="D56" s="167"/>
      <c r="E56" s="118"/>
      <c r="F56" s="119"/>
      <c r="G56" s="273"/>
      <c r="H56" s="120"/>
      <c r="I56" s="121"/>
      <c r="J56" s="119"/>
      <c r="K56" s="274"/>
      <c r="L56" s="273"/>
      <c r="M56" s="122"/>
      <c r="N56" s="162">
        <v>4400</v>
      </c>
      <c r="O56" s="164"/>
      <c r="P56" s="164"/>
      <c r="Q56" s="275"/>
      <c r="S56" s="161" t="s">
        <v>142</v>
      </c>
      <c r="T56" s="115"/>
      <c r="U56" s="123"/>
      <c r="V56" s="123"/>
      <c r="W56" s="123"/>
      <c r="X56" s="267"/>
      <c r="Y56" s="203"/>
      <c r="Z56" s="121"/>
      <c r="AA56" s="121"/>
      <c r="AB56" s="121"/>
      <c r="AC56" s="152"/>
      <c r="AD56" s="181"/>
      <c r="AE56" s="203"/>
      <c r="AF56" s="121"/>
      <c r="AG56" s="121"/>
      <c r="AH56" s="152"/>
      <c r="AI56" s="276"/>
      <c r="AJ56" s="277"/>
      <c r="AK56" s="180"/>
      <c r="AL56" s="180"/>
      <c r="AM56" s="176"/>
      <c r="AN56" s="155"/>
      <c r="AO56" s="156"/>
      <c r="AP56" s="157"/>
      <c r="AQ56" s="158"/>
      <c r="AR56" s="180"/>
      <c r="AS56" s="155"/>
      <c r="AT56" s="156"/>
      <c r="AU56" s="108"/>
      <c r="AV56" s="177"/>
      <c r="AW56" s="246"/>
      <c r="AX56" s="214"/>
      <c r="AY56" s="134">
        <v>27</v>
      </c>
    </row>
    <row r="57" spans="1:73" s="174" customFormat="1" x14ac:dyDescent="0.2">
      <c r="A57" s="161" t="s">
        <v>143</v>
      </c>
      <c r="B57" s="115"/>
      <c r="C57" s="116"/>
      <c r="D57" s="167"/>
      <c r="E57" s="118"/>
      <c r="F57" s="119"/>
      <c r="G57" s="273"/>
      <c r="H57" s="120"/>
      <c r="I57" s="121"/>
      <c r="J57" s="119"/>
      <c r="K57" s="274"/>
      <c r="L57" s="273"/>
      <c r="M57" s="122"/>
      <c r="N57" s="162">
        <v>4400</v>
      </c>
      <c r="O57" s="164"/>
      <c r="P57" s="164"/>
      <c r="Q57" s="275"/>
      <c r="S57" s="161" t="s">
        <v>143</v>
      </c>
      <c r="T57" s="115"/>
      <c r="U57" s="123"/>
      <c r="V57" s="123"/>
      <c r="W57" s="123"/>
      <c r="X57" s="271"/>
      <c r="Y57" s="203"/>
      <c r="Z57" s="121"/>
      <c r="AA57" s="121"/>
      <c r="AB57" s="121"/>
      <c r="AC57" s="200"/>
      <c r="AD57" s="162"/>
      <c r="AE57" s="203"/>
      <c r="AF57" s="121"/>
      <c r="AG57" s="121"/>
      <c r="AH57" s="200"/>
      <c r="AI57" s="276"/>
      <c r="AJ57" s="277"/>
      <c r="AK57" s="163"/>
      <c r="AL57" s="163"/>
      <c r="AM57" s="164"/>
      <c r="AN57" s="168">
        <v>0</v>
      </c>
      <c r="AO57" s="169">
        <v>0</v>
      </c>
      <c r="AP57" s="170"/>
      <c r="AQ57" s="171"/>
      <c r="AR57" s="163"/>
      <c r="AS57" s="168"/>
      <c r="AT57" s="169"/>
      <c r="AU57" s="108"/>
      <c r="AV57" s="172"/>
      <c r="AW57" s="246"/>
      <c r="AX57" s="212"/>
      <c r="AY57" s="111"/>
    </row>
    <row r="58" spans="1:73" s="174" customFormat="1" x14ac:dyDescent="0.2">
      <c r="A58" s="139" t="s">
        <v>144</v>
      </c>
      <c r="B58" s="115"/>
      <c r="C58" s="116"/>
      <c r="D58" s="167"/>
      <c r="E58" s="118"/>
      <c r="F58" s="119"/>
      <c r="G58" s="273"/>
      <c r="H58" s="120"/>
      <c r="I58" s="121"/>
      <c r="J58" s="119"/>
      <c r="K58" s="274"/>
      <c r="L58" s="273"/>
      <c r="M58" s="122"/>
      <c r="N58" s="162">
        <v>4400</v>
      </c>
      <c r="O58" s="164"/>
      <c r="P58" s="164"/>
      <c r="Q58" s="275"/>
      <c r="S58" s="139" t="s">
        <v>144</v>
      </c>
      <c r="T58" s="115"/>
      <c r="U58" s="123"/>
      <c r="V58" s="123"/>
      <c r="W58" s="123"/>
      <c r="X58" s="267"/>
      <c r="Y58" s="203"/>
      <c r="Z58" s="121"/>
      <c r="AA58" s="121"/>
      <c r="AB58" s="121"/>
      <c r="AC58" s="152"/>
      <c r="AD58" s="181"/>
      <c r="AE58" s="203"/>
      <c r="AF58" s="121"/>
      <c r="AG58" s="121"/>
      <c r="AH58" s="152"/>
      <c r="AI58" s="276"/>
      <c r="AJ58" s="277"/>
      <c r="AK58" s="180"/>
      <c r="AL58" s="180"/>
      <c r="AM58" s="176"/>
      <c r="AN58" s="155"/>
      <c r="AO58" s="156"/>
      <c r="AP58" s="157"/>
      <c r="AQ58" s="158"/>
      <c r="AR58" s="180"/>
      <c r="AS58" s="155"/>
      <c r="AT58" s="156"/>
      <c r="AU58" s="108"/>
      <c r="AV58" s="177"/>
      <c r="AW58" s="260"/>
      <c r="AX58" s="214"/>
      <c r="AY58" s="134">
        <v>28</v>
      </c>
    </row>
    <row r="59" spans="1:73" s="174" customFormat="1" x14ac:dyDescent="0.2">
      <c r="A59" s="161" t="s">
        <v>145</v>
      </c>
      <c r="B59" s="115"/>
      <c r="C59" s="116"/>
      <c r="D59" s="167"/>
      <c r="E59" s="118"/>
      <c r="F59" s="119"/>
      <c r="G59" s="273"/>
      <c r="H59" s="120"/>
      <c r="I59" s="121"/>
      <c r="J59" s="119"/>
      <c r="K59" s="274"/>
      <c r="L59" s="273"/>
      <c r="M59" s="122"/>
      <c r="N59" s="162">
        <v>4400</v>
      </c>
      <c r="O59" s="164"/>
      <c r="P59" s="164"/>
      <c r="Q59" s="275"/>
      <c r="S59" s="161" t="s">
        <v>145</v>
      </c>
      <c r="T59" s="115"/>
      <c r="U59" s="123"/>
      <c r="V59" s="123"/>
      <c r="W59" s="123"/>
      <c r="X59" s="271"/>
      <c r="Y59" s="203"/>
      <c r="Z59" s="121"/>
      <c r="AA59" s="121"/>
      <c r="AB59" s="121"/>
      <c r="AC59" s="200"/>
      <c r="AD59" s="273"/>
      <c r="AE59" s="203"/>
      <c r="AF59" s="121"/>
      <c r="AG59" s="121"/>
      <c r="AH59" s="200"/>
      <c r="AI59" s="276"/>
      <c r="AJ59" s="277"/>
      <c r="AK59" s="278"/>
      <c r="AL59" s="278"/>
      <c r="AM59" s="279"/>
      <c r="AN59" s="280"/>
      <c r="AO59" s="281"/>
      <c r="AP59" s="282"/>
      <c r="AQ59" s="283"/>
      <c r="AR59" s="278"/>
      <c r="AS59" s="280"/>
      <c r="AT59" s="281"/>
      <c r="AU59" s="108"/>
      <c r="AV59" s="172"/>
      <c r="AW59" s="246"/>
      <c r="AX59" s="284"/>
      <c r="AY59" s="111"/>
    </row>
    <row r="60" spans="1:73" s="174" customFormat="1" x14ac:dyDescent="0.2">
      <c r="A60" s="161" t="s">
        <v>146</v>
      </c>
      <c r="B60" s="115"/>
      <c r="C60" s="116"/>
      <c r="D60" s="167"/>
      <c r="E60" s="118"/>
      <c r="F60" s="119"/>
      <c r="G60" s="273"/>
      <c r="H60" s="120"/>
      <c r="I60" s="121"/>
      <c r="J60" s="119"/>
      <c r="K60" s="274"/>
      <c r="L60" s="273"/>
      <c r="M60" s="122"/>
      <c r="N60" s="162">
        <v>4400</v>
      </c>
      <c r="O60" s="164"/>
      <c r="P60" s="164"/>
      <c r="Q60" s="275"/>
      <c r="S60" s="161" t="s">
        <v>146</v>
      </c>
      <c r="T60" s="115"/>
      <c r="U60" s="123"/>
      <c r="V60" s="123"/>
      <c r="W60" s="123"/>
      <c r="X60" s="124"/>
      <c r="Y60" s="203"/>
      <c r="Z60" s="121"/>
      <c r="AA60" s="121"/>
      <c r="AB60" s="121"/>
      <c r="AC60" s="152"/>
      <c r="AD60" s="181"/>
      <c r="AE60" s="203"/>
      <c r="AF60" s="121"/>
      <c r="AG60" s="121"/>
      <c r="AH60" s="152"/>
      <c r="AI60" s="276"/>
      <c r="AJ60" s="277"/>
      <c r="AK60" s="180"/>
      <c r="AL60" s="180"/>
      <c r="AM60" s="176"/>
      <c r="AN60" s="155"/>
      <c r="AO60" s="156"/>
      <c r="AP60" s="157"/>
      <c r="AQ60" s="158"/>
      <c r="AR60" s="180"/>
      <c r="AS60" s="155"/>
      <c r="AT60" s="156"/>
      <c r="AU60" s="108"/>
      <c r="AV60" s="177"/>
      <c r="AW60" s="246"/>
      <c r="AX60" s="214"/>
      <c r="AY60" s="134">
        <v>29</v>
      </c>
    </row>
    <row r="61" spans="1:73" s="174" customFormat="1" x14ac:dyDescent="0.2">
      <c r="A61" s="161" t="s">
        <v>147</v>
      </c>
      <c r="B61" s="115"/>
      <c r="C61" s="116"/>
      <c r="D61" s="167"/>
      <c r="E61" s="118"/>
      <c r="F61" s="119"/>
      <c r="G61" s="273"/>
      <c r="H61" s="120"/>
      <c r="I61" s="121"/>
      <c r="J61" s="119"/>
      <c r="K61" s="274"/>
      <c r="L61" s="273"/>
      <c r="M61" s="122"/>
      <c r="N61" s="162">
        <v>4400</v>
      </c>
      <c r="O61" s="164"/>
      <c r="P61" s="164"/>
      <c r="Q61" s="275"/>
      <c r="S61" s="161" t="s">
        <v>147</v>
      </c>
      <c r="T61" s="115"/>
      <c r="U61" s="123"/>
      <c r="V61" s="123"/>
      <c r="W61" s="123"/>
      <c r="X61" s="124"/>
      <c r="Y61" s="203"/>
      <c r="Z61" s="121"/>
      <c r="AA61" s="121"/>
      <c r="AB61" s="121"/>
      <c r="AC61" s="200"/>
      <c r="AD61" s="162"/>
      <c r="AE61" s="203"/>
      <c r="AF61" s="121"/>
      <c r="AG61" s="121"/>
      <c r="AH61" s="200"/>
      <c r="AI61" s="276"/>
      <c r="AJ61" s="277"/>
      <c r="AK61" s="163"/>
      <c r="AL61" s="163"/>
      <c r="AM61" s="164"/>
      <c r="AN61" s="168"/>
      <c r="AO61" s="169"/>
      <c r="AP61" s="170"/>
      <c r="AQ61" s="171"/>
      <c r="AR61" s="163"/>
      <c r="AS61" s="168"/>
      <c r="AT61" s="169"/>
      <c r="AU61" s="108"/>
      <c r="AV61" s="172"/>
      <c r="AW61" s="246"/>
      <c r="AX61" s="212"/>
      <c r="AY61" s="111"/>
    </row>
    <row r="62" spans="1:73" s="174" customFormat="1" x14ac:dyDescent="0.2">
      <c r="A62" s="139" t="s">
        <v>148</v>
      </c>
      <c r="B62" s="115"/>
      <c r="C62" s="116"/>
      <c r="D62" s="167"/>
      <c r="E62" s="118"/>
      <c r="F62" s="119"/>
      <c r="G62" s="273"/>
      <c r="H62" s="120"/>
      <c r="I62" s="121"/>
      <c r="J62" s="119"/>
      <c r="K62" s="274"/>
      <c r="L62" s="273"/>
      <c r="M62" s="122"/>
      <c r="N62" s="162">
        <v>4400</v>
      </c>
      <c r="O62" s="164"/>
      <c r="P62" s="164"/>
      <c r="Q62" s="275"/>
      <c r="S62" s="139" t="s">
        <v>148</v>
      </c>
      <c r="T62" s="115"/>
      <c r="U62" s="123"/>
      <c r="V62" s="123"/>
      <c r="W62" s="123"/>
      <c r="X62" s="124"/>
      <c r="Y62" s="203"/>
      <c r="Z62" s="121"/>
      <c r="AA62" s="121"/>
      <c r="AB62" s="121"/>
      <c r="AC62" s="152"/>
      <c r="AD62" s="181"/>
      <c r="AE62" s="203"/>
      <c r="AF62" s="121"/>
      <c r="AG62" s="121"/>
      <c r="AH62" s="152"/>
      <c r="AI62" s="276"/>
      <c r="AJ62" s="277"/>
      <c r="AK62" s="180"/>
      <c r="AL62" s="180"/>
      <c r="AM62" s="176"/>
      <c r="AN62" s="155"/>
      <c r="AO62" s="156"/>
      <c r="AP62" s="157"/>
      <c r="AQ62" s="158"/>
      <c r="AR62" s="180"/>
      <c r="AS62" s="155"/>
      <c r="AT62" s="156"/>
      <c r="AU62" s="108"/>
      <c r="AV62" s="177"/>
      <c r="AW62" s="246"/>
      <c r="AX62" s="214"/>
      <c r="AY62" s="134">
        <v>30</v>
      </c>
    </row>
    <row r="63" spans="1:73" s="174" customFormat="1" x14ac:dyDescent="0.2">
      <c r="A63" s="161" t="s">
        <v>149</v>
      </c>
      <c r="B63" s="115"/>
      <c r="C63" s="116"/>
      <c r="D63" s="167"/>
      <c r="E63" s="118"/>
      <c r="F63" s="119"/>
      <c r="G63" s="273"/>
      <c r="H63" s="120"/>
      <c r="I63" s="121"/>
      <c r="J63" s="119"/>
      <c r="K63" s="274"/>
      <c r="L63" s="273"/>
      <c r="M63" s="122"/>
      <c r="N63" s="162">
        <v>4400</v>
      </c>
      <c r="O63" s="164"/>
      <c r="P63" s="164"/>
      <c r="Q63" s="275"/>
      <c r="S63" s="161" t="s">
        <v>149</v>
      </c>
      <c r="T63" s="115"/>
      <c r="U63" s="123"/>
      <c r="V63" s="123"/>
      <c r="W63" s="123"/>
      <c r="X63" s="124"/>
      <c r="Y63" s="203"/>
      <c r="Z63" s="121"/>
      <c r="AA63" s="121"/>
      <c r="AB63" s="121"/>
      <c r="AC63" s="200"/>
      <c r="AD63" s="162"/>
      <c r="AE63" s="203"/>
      <c r="AF63" s="121"/>
      <c r="AG63" s="121"/>
      <c r="AH63" s="200"/>
      <c r="AI63" s="276"/>
      <c r="AJ63" s="277"/>
      <c r="AK63" s="163"/>
      <c r="AL63" s="163"/>
      <c r="AM63" s="164"/>
      <c r="AN63" s="168"/>
      <c r="AO63" s="169"/>
      <c r="AP63" s="170"/>
      <c r="AQ63" s="171"/>
      <c r="AR63" s="163"/>
      <c r="AS63" s="168"/>
      <c r="AT63" s="169"/>
      <c r="AU63" s="108"/>
      <c r="AV63" s="172"/>
      <c r="AW63" s="246"/>
      <c r="AX63" s="212"/>
      <c r="AY63" s="111"/>
    </row>
    <row r="64" spans="1:73" s="174" customFormat="1" x14ac:dyDescent="0.2">
      <c r="A64" s="161" t="s">
        <v>150</v>
      </c>
      <c r="B64" s="115"/>
      <c r="C64" s="116"/>
      <c r="D64" s="167"/>
      <c r="E64" s="118"/>
      <c r="F64" s="119"/>
      <c r="G64" s="273"/>
      <c r="H64" s="120"/>
      <c r="I64" s="121"/>
      <c r="J64" s="119"/>
      <c r="K64" s="274"/>
      <c r="L64" s="273"/>
      <c r="M64" s="122"/>
      <c r="N64" s="162">
        <v>4400</v>
      </c>
      <c r="O64" s="164"/>
      <c r="P64" s="164"/>
      <c r="Q64" s="275"/>
      <c r="S64" s="161" t="s">
        <v>150</v>
      </c>
      <c r="T64" s="115"/>
      <c r="U64" s="123"/>
      <c r="V64" s="123"/>
      <c r="W64" s="123"/>
      <c r="X64" s="124"/>
      <c r="Y64" s="203"/>
      <c r="Z64" s="121"/>
      <c r="AA64" s="121"/>
      <c r="AB64" s="121"/>
      <c r="AC64" s="152"/>
      <c r="AD64" s="181"/>
      <c r="AE64" s="203"/>
      <c r="AF64" s="121"/>
      <c r="AG64" s="121"/>
      <c r="AH64" s="152"/>
      <c r="AI64" s="276"/>
      <c r="AJ64" s="277"/>
      <c r="AK64" s="180"/>
      <c r="AL64" s="180"/>
      <c r="AM64" s="176"/>
      <c r="AN64" s="155"/>
      <c r="AO64" s="156"/>
      <c r="AP64" s="157"/>
      <c r="AQ64" s="158"/>
      <c r="AR64" s="180"/>
      <c r="AS64" s="155"/>
      <c r="AT64" s="156"/>
      <c r="AU64" s="108"/>
      <c r="AV64" s="177"/>
      <c r="AW64" s="260"/>
      <c r="AX64" s="214"/>
      <c r="AY64" s="134">
        <v>31</v>
      </c>
    </row>
    <row r="65" spans="1:51" s="174" customFormat="1" x14ac:dyDescent="0.2">
      <c r="A65" s="161" t="s">
        <v>151</v>
      </c>
      <c r="B65" s="115"/>
      <c r="C65" s="116"/>
      <c r="D65" s="167"/>
      <c r="E65" s="118"/>
      <c r="F65" s="119"/>
      <c r="G65" s="273"/>
      <c r="H65" s="120"/>
      <c r="I65" s="121"/>
      <c r="J65" s="119"/>
      <c r="K65" s="274"/>
      <c r="L65" s="273"/>
      <c r="M65" s="122"/>
      <c r="N65" s="162">
        <v>4400</v>
      </c>
      <c r="O65" s="164"/>
      <c r="P65" s="164"/>
      <c r="Q65" s="275"/>
      <c r="S65" s="161" t="s">
        <v>151</v>
      </c>
      <c r="T65" s="115"/>
      <c r="U65" s="123"/>
      <c r="V65" s="123"/>
      <c r="W65" s="123"/>
      <c r="X65" s="124"/>
      <c r="Y65" s="203"/>
      <c r="Z65" s="121"/>
      <c r="AA65" s="121"/>
      <c r="AB65" s="121"/>
      <c r="AC65" s="200"/>
      <c r="AD65" s="273"/>
      <c r="AE65" s="203"/>
      <c r="AF65" s="121"/>
      <c r="AG65" s="121"/>
      <c r="AH65" s="200"/>
      <c r="AI65" s="276"/>
      <c r="AJ65" s="277"/>
      <c r="AK65" s="278"/>
      <c r="AL65" s="278"/>
      <c r="AM65" s="279"/>
      <c r="AN65" s="280"/>
      <c r="AO65" s="281"/>
      <c r="AP65" s="282"/>
      <c r="AQ65" s="283"/>
      <c r="AR65" s="278"/>
      <c r="AS65" s="280"/>
      <c r="AT65" s="281"/>
      <c r="AU65" s="272"/>
      <c r="AV65" s="172"/>
      <c r="AW65" s="246"/>
      <c r="AX65" s="284"/>
      <c r="AY65" s="111"/>
    </row>
    <row r="66" spans="1:51" s="174" customFormat="1" x14ac:dyDescent="0.2">
      <c r="A66" s="139" t="s">
        <v>152</v>
      </c>
      <c r="B66" s="115"/>
      <c r="C66" s="116"/>
      <c r="D66" s="167"/>
      <c r="E66" s="118"/>
      <c r="F66" s="119"/>
      <c r="G66" s="273"/>
      <c r="H66" s="120"/>
      <c r="I66" s="121"/>
      <c r="J66" s="119"/>
      <c r="K66" s="274"/>
      <c r="L66" s="273"/>
      <c r="M66" s="122"/>
      <c r="N66" s="162">
        <v>4400</v>
      </c>
      <c r="O66" s="164"/>
      <c r="P66" s="164"/>
      <c r="Q66" s="275"/>
      <c r="S66" s="139" t="s">
        <v>152</v>
      </c>
      <c r="T66" s="115"/>
      <c r="U66" s="123"/>
      <c r="V66" s="123"/>
      <c r="W66" s="123"/>
      <c r="X66" s="124"/>
      <c r="Y66" s="203"/>
      <c r="Z66" s="121"/>
      <c r="AA66" s="121"/>
      <c r="AB66" s="121"/>
      <c r="AC66" s="152"/>
      <c r="AD66" s="181"/>
      <c r="AE66" s="203"/>
      <c r="AF66" s="121"/>
      <c r="AG66" s="121"/>
      <c r="AH66" s="152"/>
      <c r="AI66" s="276"/>
      <c r="AJ66" s="277"/>
      <c r="AK66" s="180"/>
      <c r="AL66" s="180"/>
      <c r="AM66" s="176"/>
      <c r="AN66" s="155"/>
      <c r="AO66" s="156"/>
      <c r="AP66" s="157"/>
      <c r="AQ66" s="158"/>
      <c r="AR66" s="180"/>
      <c r="AS66" s="155"/>
      <c r="AT66" s="156"/>
      <c r="AU66" s="108"/>
      <c r="AV66" s="177"/>
      <c r="AW66" s="246"/>
      <c r="AX66" s="214"/>
      <c r="AY66" s="134">
        <v>32</v>
      </c>
    </row>
    <row r="67" spans="1:51" s="174" customFormat="1" x14ac:dyDescent="0.2">
      <c r="A67" s="161" t="s">
        <v>153</v>
      </c>
      <c r="B67" s="115"/>
      <c r="C67" s="116"/>
      <c r="D67" s="167"/>
      <c r="E67" s="118"/>
      <c r="F67" s="119"/>
      <c r="G67" s="273"/>
      <c r="H67" s="120"/>
      <c r="I67" s="121"/>
      <c r="J67" s="119"/>
      <c r="K67" s="274"/>
      <c r="L67" s="273"/>
      <c r="M67" s="122"/>
      <c r="N67" s="162">
        <v>4400</v>
      </c>
      <c r="O67" s="164"/>
      <c r="P67" s="164"/>
      <c r="Q67" s="275"/>
      <c r="S67" s="161" t="s">
        <v>153</v>
      </c>
      <c r="T67" s="115"/>
      <c r="U67" s="123"/>
      <c r="V67" s="123"/>
      <c r="W67" s="123"/>
      <c r="X67" s="124"/>
      <c r="Y67" s="203"/>
      <c r="Z67" s="121"/>
      <c r="AA67" s="121"/>
      <c r="AB67" s="121"/>
      <c r="AC67" s="200"/>
      <c r="AD67" s="162"/>
      <c r="AE67" s="203"/>
      <c r="AF67" s="121"/>
      <c r="AG67" s="121"/>
      <c r="AH67" s="200"/>
      <c r="AI67" s="276"/>
      <c r="AJ67" s="277"/>
      <c r="AK67" s="163"/>
      <c r="AL67" s="163"/>
      <c r="AM67" s="164"/>
      <c r="AN67" s="168"/>
      <c r="AO67" s="169"/>
      <c r="AP67" s="170"/>
      <c r="AQ67" s="171"/>
      <c r="AR67" s="163"/>
      <c r="AS67" s="168"/>
      <c r="AT67" s="169"/>
      <c r="AU67" s="108"/>
      <c r="AV67" s="172"/>
      <c r="AW67" s="246"/>
      <c r="AX67" s="212"/>
      <c r="AY67" s="111"/>
    </row>
    <row r="68" spans="1:51" s="174" customFormat="1" x14ac:dyDescent="0.2">
      <c r="A68" s="161" t="s">
        <v>154</v>
      </c>
      <c r="B68" s="115"/>
      <c r="C68" s="116"/>
      <c r="D68" s="167"/>
      <c r="E68" s="118"/>
      <c r="F68" s="119"/>
      <c r="G68" s="273"/>
      <c r="H68" s="120"/>
      <c r="I68" s="121"/>
      <c r="J68" s="119"/>
      <c r="K68" s="274"/>
      <c r="L68" s="273"/>
      <c r="M68" s="122"/>
      <c r="N68" s="162">
        <v>4400</v>
      </c>
      <c r="O68" s="164"/>
      <c r="P68" s="164"/>
      <c r="Q68" s="275"/>
      <c r="S68" s="161" t="s">
        <v>154</v>
      </c>
      <c r="T68" s="115"/>
      <c r="U68" s="123"/>
      <c r="V68" s="123"/>
      <c r="W68" s="123"/>
      <c r="X68" s="124"/>
      <c r="Y68" s="203"/>
      <c r="Z68" s="121"/>
      <c r="AA68" s="121"/>
      <c r="AB68" s="121"/>
      <c r="AC68" s="152"/>
      <c r="AD68" s="181"/>
      <c r="AE68" s="203"/>
      <c r="AF68" s="121"/>
      <c r="AG68" s="121"/>
      <c r="AH68" s="152"/>
      <c r="AI68" s="276"/>
      <c r="AJ68" s="277"/>
      <c r="AK68" s="180"/>
      <c r="AL68" s="180"/>
      <c r="AM68" s="176"/>
      <c r="AN68" s="155"/>
      <c r="AO68" s="156"/>
      <c r="AP68" s="157"/>
      <c r="AQ68" s="158"/>
      <c r="AR68" s="180"/>
      <c r="AS68" s="155"/>
      <c r="AT68" s="156"/>
      <c r="AU68" s="108"/>
      <c r="AV68" s="177"/>
      <c r="AW68" s="246"/>
      <c r="AX68" s="214"/>
      <c r="AY68" s="134">
        <v>33</v>
      </c>
    </row>
    <row r="69" spans="1:51" s="174" customFormat="1" x14ac:dyDescent="0.2">
      <c r="A69" s="161" t="s">
        <v>155</v>
      </c>
      <c r="B69" s="115"/>
      <c r="C69" s="116"/>
      <c r="D69" s="167"/>
      <c r="E69" s="118"/>
      <c r="F69" s="119"/>
      <c r="G69" s="273"/>
      <c r="H69" s="120"/>
      <c r="I69" s="121"/>
      <c r="J69" s="119"/>
      <c r="K69" s="274"/>
      <c r="L69" s="273"/>
      <c r="M69" s="122"/>
      <c r="N69" s="162">
        <v>4400</v>
      </c>
      <c r="O69" s="164"/>
      <c r="P69" s="164"/>
      <c r="Q69" s="275"/>
      <c r="S69" s="161" t="s">
        <v>155</v>
      </c>
      <c r="T69" s="115"/>
      <c r="U69" s="123"/>
      <c r="V69" s="123"/>
      <c r="W69" s="123"/>
      <c r="X69" s="124"/>
      <c r="Y69" s="203"/>
      <c r="Z69" s="121"/>
      <c r="AA69" s="121"/>
      <c r="AB69" s="121"/>
      <c r="AC69" s="200"/>
      <c r="AD69" s="162"/>
      <c r="AE69" s="203"/>
      <c r="AF69" s="121"/>
      <c r="AG69" s="121"/>
      <c r="AH69" s="200"/>
      <c r="AI69" s="276"/>
      <c r="AJ69" s="277"/>
      <c r="AK69" s="163"/>
      <c r="AL69" s="163"/>
      <c r="AM69" s="164"/>
      <c r="AN69" s="168"/>
      <c r="AO69" s="169"/>
      <c r="AP69" s="170"/>
      <c r="AQ69" s="171"/>
      <c r="AR69" s="163"/>
      <c r="AS69" s="168"/>
      <c r="AT69" s="169"/>
      <c r="AU69" s="108"/>
      <c r="AV69" s="172"/>
      <c r="AW69" s="246"/>
      <c r="AX69" s="212"/>
      <c r="AY69" s="111"/>
    </row>
    <row r="70" spans="1:51" s="174" customFormat="1" x14ac:dyDescent="0.2">
      <c r="A70" s="139" t="s">
        <v>156</v>
      </c>
      <c r="B70" s="115"/>
      <c r="C70" s="116"/>
      <c r="D70" s="167"/>
      <c r="E70" s="118"/>
      <c r="F70" s="119"/>
      <c r="G70" s="273"/>
      <c r="H70" s="120"/>
      <c r="I70" s="121"/>
      <c r="J70" s="119"/>
      <c r="K70" s="274"/>
      <c r="L70" s="273"/>
      <c r="M70" s="122"/>
      <c r="N70" s="162">
        <v>4400</v>
      </c>
      <c r="O70" s="164"/>
      <c r="P70" s="164"/>
      <c r="Q70" s="275"/>
      <c r="S70" s="139" t="s">
        <v>156</v>
      </c>
      <c r="T70" s="115"/>
      <c r="U70" s="123"/>
      <c r="V70" s="123"/>
      <c r="W70" s="123"/>
      <c r="X70" s="124"/>
      <c r="Y70" s="203"/>
      <c r="Z70" s="121"/>
      <c r="AA70" s="121"/>
      <c r="AB70" s="121"/>
      <c r="AC70" s="152"/>
      <c r="AD70" s="181"/>
      <c r="AE70" s="203"/>
      <c r="AF70" s="121"/>
      <c r="AG70" s="121"/>
      <c r="AH70" s="152"/>
      <c r="AI70" s="276"/>
      <c r="AJ70" s="277"/>
      <c r="AK70" s="180"/>
      <c r="AL70" s="180"/>
      <c r="AM70" s="176"/>
      <c r="AN70" s="155"/>
      <c r="AO70" s="156"/>
      <c r="AP70" s="157"/>
      <c r="AQ70" s="158"/>
      <c r="AR70" s="180"/>
      <c r="AS70" s="155"/>
      <c r="AT70" s="156"/>
      <c r="AU70" s="108"/>
      <c r="AV70" s="177"/>
      <c r="AW70" s="260"/>
      <c r="AX70" s="214"/>
      <c r="AY70" s="134">
        <v>34</v>
      </c>
    </row>
    <row r="71" spans="1:51" s="174" customFormat="1" x14ac:dyDescent="0.2">
      <c r="A71" s="161" t="s">
        <v>157</v>
      </c>
      <c r="B71" s="115"/>
      <c r="C71" s="116"/>
      <c r="D71" s="167"/>
      <c r="E71" s="118"/>
      <c r="F71" s="119"/>
      <c r="G71" s="273"/>
      <c r="H71" s="120"/>
      <c r="I71" s="121"/>
      <c r="J71" s="119"/>
      <c r="K71" s="274"/>
      <c r="L71" s="273"/>
      <c r="M71" s="122"/>
      <c r="N71" s="162">
        <v>4400</v>
      </c>
      <c r="O71" s="164"/>
      <c r="P71" s="164"/>
      <c r="Q71" s="275"/>
      <c r="S71" s="161" t="s">
        <v>157</v>
      </c>
      <c r="T71" s="115"/>
      <c r="U71" s="123"/>
      <c r="V71" s="123"/>
      <c r="W71" s="123"/>
      <c r="X71" s="124"/>
      <c r="Y71" s="203"/>
      <c r="Z71" s="121"/>
      <c r="AA71" s="121"/>
      <c r="AB71" s="121"/>
      <c r="AC71" s="200"/>
      <c r="AD71" s="273"/>
      <c r="AE71" s="203"/>
      <c r="AF71" s="121"/>
      <c r="AG71" s="121"/>
      <c r="AH71" s="200"/>
      <c r="AI71" s="276"/>
      <c r="AJ71" s="277"/>
      <c r="AK71" s="278"/>
      <c r="AL71" s="278"/>
      <c r="AM71" s="279"/>
      <c r="AN71" s="280"/>
      <c r="AO71" s="281"/>
      <c r="AP71" s="282"/>
      <c r="AQ71" s="283"/>
      <c r="AR71" s="278"/>
      <c r="AS71" s="280"/>
      <c r="AT71" s="281"/>
      <c r="AU71" s="272"/>
      <c r="AV71" s="172"/>
      <c r="AW71" s="246"/>
      <c r="AX71" s="284"/>
      <c r="AY71" s="111"/>
    </row>
    <row r="72" spans="1:51" s="174" customFormat="1" x14ac:dyDescent="0.2">
      <c r="A72" s="161" t="s">
        <v>158</v>
      </c>
      <c r="B72" s="115"/>
      <c r="C72" s="116"/>
      <c r="D72" s="167"/>
      <c r="E72" s="118"/>
      <c r="F72" s="119"/>
      <c r="G72" s="273"/>
      <c r="H72" s="120"/>
      <c r="I72" s="121"/>
      <c r="J72" s="119"/>
      <c r="K72" s="274"/>
      <c r="L72" s="273"/>
      <c r="M72" s="122"/>
      <c r="N72" s="162">
        <v>4400</v>
      </c>
      <c r="O72" s="164"/>
      <c r="P72" s="164"/>
      <c r="Q72" s="275"/>
      <c r="S72" s="161" t="s">
        <v>158</v>
      </c>
      <c r="T72" s="115"/>
      <c r="U72" s="123"/>
      <c r="V72" s="123"/>
      <c r="W72" s="123"/>
      <c r="X72" s="124"/>
      <c r="Y72" s="203"/>
      <c r="Z72" s="121"/>
      <c r="AA72" s="121"/>
      <c r="AB72" s="121"/>
      <c r="AC72" s="152"/>
      <c r="AD72" s="181"/>
      <c r="AE72" s="203"/>
      <c r="AF72" s="121"/>
      <c r="AG72" s="121"/>
      <c r="AH72" s="152"/>
      <c r="AI72" s="276"/>
      <c r="AJ72" s="277"/>
      <c r="AK72" s="180"/>
      <c r="AL72" s="180"/>
      <c r="AM72" s="176"/>
      <c r="AN72" s="155"/>
      <c r="AO72" s="156"/>
      <c r="AP72" s="157"/>
      <c r="AQ72" s="158"/>
      <c r="AR72" s="180"/>
      <c r="AS72" s="155"/>
      <c r="AT72" s="156"/>
      <c r="AU72" s="108"/>
      <c r="AV72" s="177"/>
      <c r="AW72" s="246"/>
      <c r="AX72" s="214"/>
      <c r="AY72" s="134">
        <v>35</v>
      </c>
    </row>
    <row r="73" spans="1:51" s="174" customFormat="1" x14ac:dyDescent="0.2">
      <c r="A73" s="161" t="s">
        <v>159</v>
      </c>
      <c r="B73" s="115"/>
      <c r="C73" s="116"/>
      <c r="D73" s="167"/>
      <c r="E73" s="118"/>
      <c r="F73" s="119"/>
      <c r="G73" s="273"/>
      <c r="H73" s="120"/>
      <c r="I73" s="121"/>
      <c r="J73" s="119"/>
      <c r="K73" s="274"/>
      <c r="L73" s="273"/>
      <c r="M73" s="122"/>
      <c r="N73" s="162">
        <v>4400</v>
      </c>
      <c r="O73" s="164"/>
      <c r="P73" s="164"/>
      <c r="Q73" s="275"/>
      <c r="S73" s="161" t="s">
        <v>159</v>
      </c>
      <c r="T73" s="115"/>
      <c r="U73" s="123"/>
      <c r="V73" s="123"/>
      <c r="W73" s="123"/>
      <c r="X73" s="124"/>
      <c r="Y73" s="203"/>
      <c r="Z73" s="121"/>
      <c r="AA73" s="121"/>
      <c r="AB73" s="121"/>
      <c r="AC73" s="200"/>
      <c r="AD73" s="162"/>
      <c r="AE73" s="203"/>
      <c r="AF73" s="121"/>
      <c r="AG73" s="121"/>
      <c r="AH73" s="200"/>
      <c r="AI73" s="276"/>
      <c r="AJ73" s="277"/>
      <c r="AK73" s="163"/>
      <c r="AL73" s="163"/>
      <c r="AM73" s="164"/>
      <c r="AN73" s="168"/>
      <c r="AO73" s="169"/>
      <c r="AP73" s="170"/>
      <c r="AQ73" s="171"/>
      <c r="AR73" s="163"/>
      <c r="AS73" s="168"/>
      <c r="AT73" s="169"/>
      <c r="AU73" s="108"/>
      <c r="AV73" s="172"/>
      <c r="AW73" s="246"/>
      <c r="AX73" s="212"/>
      <c r="AY73" s="111"/>
    </row>
    <row r="74" spans="1:51" s="174" customFormat="1" x14ac:dyDescent="0.2">
      <c r="A74" s="139" t="s">
        <v>160</v>
      </c>
      <c r="B74" s="115"/>
      <c r="C74" s="116"/>
      <c r="D74" s="167"/>
      <c r="E74" s="118"/>
      <c r="F74" s="119"/>
      <c r="G74" s="273"/>
      <c r="H74" s="120"/>
      <c r="I74" s="121"/>
      <c r="J74" s="119"/>
      <c r="K74" s="274"/>
      <c r="L74" s="273"/>
      <c r="M74" s="122"/>
      <c r="N74" s="162">
        <v>4400</v>
      </c>
      <c r="O74" s="164"/>
      <c r="P74" s="164"/>
      <c r="Q74" s="275"/>
      <c r="S74" s="139" t="s">
        <v>160</v>
      </c>
      <c r="T74" s="115"/>
      <c r="U74" s="123"/>
      <c r="V74" s="123"/>
      <c r="W74" s="123"/>
      <c r="X74" s="124"/>
      <c r="Y74" s="203"/>
      <c r="Z74" s="121"/>
      <c r="AA74" s="121"/>
      <c r="AB74" s="121"/>
      <c r="AC74" s="152"/>
      <c r="AD74" s="181"/>
      <c r="AE74" s="203"/>
      <c r="AF74" s="121"/>
      <c r="AG74" s="121"/>
      <c r="AH74" s="152"/>
      <c r="AI74" s="276"/>
      <c r="AJ74" s="277"/>
      <c r="AK74" s="180"/>
      <c r="AL74" s="180"/>
      <c r="AM74" s="176"/>
      <c r="AN74" s="155"/>
      <c r="AO74" s="156"/>
      <c r="AP74" s="157"/>
      <c r="AQ74" s="158"/>
      <c r="AR74" s="180"/>
      <c r="AS74" s="155"/>
      <c r="AT74" s="156"/>
      <c r="AU74" s="108"/>
      <c r="AV74" s="177"/>
      <c r="AW74" s="246"/>
      <c r="AX74" s="214"/>
      <c r="AY74" s="134">
        <v>36</v>
      </c>
    </row>
    <row r="75" spans="1:51" s="174" customFormat="1" x14ac:dyDescent="0.2">
      <c r="A75" s="161" t="s">
        <v>161</v>
      </c>
      <c r="B75" s="115"/>
      <c r="C75" s="116"/>
      <c r="D75" s="167"/>
      <c r="E75" s="118"/>
      <c r="F75" s="119"/>
      <c r="G75" s="273"/>
      <c r="H75" s="120"/>
      <c r="I75" s="121"/>
      <c r="J75" s="119"/>
      <c r="K75" s="274"/>
      <c r="L75" s="273"/>
      <c r="M75" s="122"/>
      <c r="N75" s="162">
        <v>4400</v>
      </c>
      <c r="O75" s="164"/>
      <c r="P75" s="164"/>
      <c r="Q75" s="275"/>
      <c r="S75" s="161" t="s">
        <v>161</v>
      </c>
      <c r="T75" s="115"/>
      <c r="U75" s="123"/>
      <c r="V75" s="123"/>
      <c r="W75" s="123"/>
      <c r="X75" s="124"/>
      <c r="Y75" s="203"/>
      <c r="Z75" s="121"/>
      <c r="AA75" s="121"/>
      <c r="AB75" s="121"/>
      <c r="AC75" s="200"/>
      <c r="AD75" s="162"/>
      <c r="AE75" s="203"/>
      <c r="AF75" s="121"/>
      <c r="AG75" s="121"/>
      <c r="AH75" s="200"/>
      <c r="AI75" s="276"/>
      <c r="AJ75" s="277"/>
      <c r="AK75" s="163"/>
      <c r="AL75" s="163"/>
      <c r="AM75" s="164"/>
      <c r="AN75" s="168"/>
      <c r="AO75" s="169"/>
      <c r="AP75" s="170"/>
      <c r="AQ75" s="171"/>
      <c r="AR75" s="163"/>
      <c r="AS75" s="168"/>
      <c r="AT75" s="169"/>
      <c r="AU75" s="108"/>
      <c r="AV75" s="172"/>
      <c r="AW75" s="246"/>
      <c r="AX75" s="212"/>
      <c r="AY75" s="111"/>
    </row>
    <row r="76" spans="1:51" s="174" customFormat="1" x14ac:dyDescent="0.2">
      <c r="A76" s="161" t="s">
        <v>162</v>
      </c>
      <c r="B76" s="115"/>
      <c r="C76" s="116"/>
      <c r="D76" s="167"/>
      <c r="E76" s="118"/>
      <c r="F76" s="119"/>
      <c r="G76" s="273"/>
      <c r="H76" s="120"/>
      <c r="I76" s="121"/>
      <c r="J76" s="119"/>
      <c r="K76" s="274"/>
      <c r="L76" s="273"/>
      <c r="M76" s="122"/>
      <c r="N76" s="162">
        <v>4400</v>
      </c>
      <c r="O76" s="164"/>
      <c r="P76" s="164"/>
      <c r="Q76" s="275"/>
      <c r="S76" s="161" t="s">
        <v>162</v>
      </c>
      <c r="T76" s="115"/>
      <c r="U76" s="123"/>
      <c r="V76" s="123"/>
      <c r="W76" s="123"/>
      <c r="X76" s="124"/>
      <c r="Y76" s="203"/>
      <c r="Z76" s="121"/>
      <c r="AA76" s="121"/>
      <c r="AB76" s="121"/>
      <c r="AC76" s="152"/>
      <c r="AD76" s="181"/>
      <c r="AE76" s="203"/>
      <c r="AF76" s="121"/>
      <c r="AG76" s="121"/>
      <c r="AH76" s="152"/>
      <c r="AI76" s="276"/>
      <c r="AJ76" s="277"/>
      <c r="AK76" s="180"/>
      <c r="AL76" s="180"/>
      <c r="AM76" s="176"/>
      <c r="AN76" s="155"/>
      <c r="AO76" s="156"/>
      <c r="AP76" s="157"/>
      <c r="AQ76" s="158"/>
      <c r="AR76" s="180"/>
      <c r="AS76" s="155"/>
      <c r="AT76" s="156"/>
      <c r="AU76" s="108"/>
      <c r="AV76" s="177"/>
      <c r="AW76" s="260"/>
      <c r="AX76" s="214"/>
      <c r="AY76" s="134">
        <v>37</v>
      </c>
    </row>
    <row r="77" spans="1:51" s="174" customFormat="1" x14ac:dyDescent="0.2">
      <c r="A77" s="161" t="s">
        <v>163</v>
      </c>
      <c r="B77" s="115"/>
      <c r="C77" s="116"/>
      <c r="D77" s="167"/>
      <c r="E77" s="118"/>
      <c r="F77" s="119"/>
      <c r="G77" s="273"/>
      <c r="H77" s="120"/>
      <c r="I77" s="121"/>
      <c r="J77" s="119"/>
      <c r="K77" s="274"/>
      <c r="L77" s="273"/>
      <c r="M77" s="122"/>
      <c r="N77" s="162">
        <v>4400</v>
      </c>
      <c r="O77" s="164"/>
      <c r="P77" s="164"/>
      <c r="Q77" s="275"/>
      <c r="S77" s="161" t="s">
        <v>163</v>
      </c>
      <c r="T77" s="115"/>
      <c r="U77" s="123"/>
      <c r="V77" s="123"/>
      <c r="W77" s="123"/>
      <c r="X77" s="124"/>
      <c r="Y77" s="203"/>
      <c r="Z77" s="121"/>
      <c r="AA77" s="121"/>
      <c r="AB77" s="121"/>
      <c r="AC77" s="200"/>
      <c r="AD77" s="273"/>
      <c r="AE77" s="203"/>
      <c r="AF77" s="121"/>
      <c r="AG77" s="121"/>
      <c r="AH77" s="200"/>
      <c r="AI77" s="276"/>
      <c r="AJ77" s="277"/>
      <c r="AK77" s="278"/>
      <c r="AL77" s="278"/>
      <c r="AM77" s="279"/>
      <c r="AN77" s="280"/>
      <c r="AO77" s="281"/>
      <c r="AP77" s="282"/>
      <c r="AQ77" s="283"/>
      <c r="AR77" s="278"/>
      <c r="AS77" s="280"/>
      <c r="AT77" s="281"/>
      <c r="AU77" s="272"/>
      <c r="AV77" s="172"/>
      <c r="AW77" s="246"/>
      <c r="AX77" s="284"/>
      <c r="AY77" s="111"/>
    </row>
    <row r="78" spans="1:51" s="174" customFormat="1" x14ac:dyDescent="0.2">
      <c r="A78" s="139" t="s">
        <v>164</v>
      </c>
      <c r="B78" s="115"/>
      <c r="C78" s="116"/>
      <c r="D78" s="167"/>
      <c r="E78" s="118"/>
      <c r="F78" s="119"/>
      <c r="G78" s="273"/>
      <c r="H78" s="120"/>
      <c r="I78" s="121"/>
      <c r="J78" s="119"/>
      <c r="K78" s="274"/>
      <c r="L78" s="273"/>
      <c r="M78" s="122"/>
      <c r="N78" s="162">
        <v>4400</v>
      </c>
      <c r="O78" s="164"/>
      <c r="P78" s="164"/>
      <c r="Q78" s="275"/>
      <c r="S78" s="139" t="s">
        <v>164</v>
      </c>
      <c r="T78" s="115"/>
      <c r="U78" s="123"/>
      <c r="V78" s="123"/>
      <c r="W78" s="123"/>
      <c r="X78" s="124"/>
      <c r="Y78" s="203"/>
      <c r="Z78" s="121"/>
      <c r="AA78" s="121"/>
      <c r="AB78" s="121"/>
      <c r="AC78" s="152"/>
      <c r="AD78" s="181"/>
      <c r="AE78" s="203"/>
      <c r="AF78" s="121"/>
      <c r="AG78" s="121"/>
      <c r="AH78" s="152"/>
      <c r="AI78" s="276"/>
      <c r="AJ78" s="277"/>
      <c r="AK78" s="180"/>
      <c r="AL78" s="180"/>
      <c r="AM78" s="176"/>
      <c r="AN78" s="155"/>
      <c r="AO78" s="156"/>
      <c r="AP78" s="157"/>
      <c r="AQ78" s="158"/>
      <c r="AR78" s="180"/>
      <c r="AS78" s="155"/>
      <c r="AT78" s="156"/>
      <c r="AU78" s="108"/>
      <c r="AV78" s="177"/>
      <c r="AW78" s="246"/>
      <c r="AX78" s="214"/>
      <c r="AY78" s="134">
        <v>38</v>
      </c>
    </row>
    <row r="79" spans="1:51" s="174" customFormat="1" x14ac:dyDescent="0.2">
      <c r="A79" s="161" t="s">
        <v>165</v>
      </c>
      <c r="B79" s="115"/>
      <c r="C79" s="116"/>
      <c r="D79" s="167"/>
      <c r="E79" s="118"/>
      <c r="F79" s="119"/>
      <c r="G79" s="273"/>
      <c r="H79" s="120"/>
      <c r="I79" s="121"/>
      <c r="J79" s="119"/>
      <c r="K79" s="274"/>
      <c r="L79" s="273"/>
      <c r="M79" s="122"/>
      <c r="N79" s="162">
        <v>4400</v>
      </c>
      <c r="O79" s="164"/>
      <c r="P79" s="164"/>
      <c r="Q79" s="275"/>
      <c r="S79" s="161" t="s">
        <v>165</v>
      </c>
      <c r="T79" s="115"/>
      <c r="U79" s="123"/>
      <c r="V79" s="123"/>
      <c r="W79" s="123"/>
      <c r="X79" s="124"/>
      <c r="Y79" s="203"/>
      <c r="Z79" s="121"/>
      <c r="AA79" s="121"/>
      <c r="AB79" s="121"/>
      <c r="AC79" s="200"/>
      <c r="AD79" s="162"/>
      <c r="AE79" s="203"/>
      <c r="AF79" s="121"/>
      <c r="AG79" s="121"/>
      <c r="AH79" s="200"/>
      <c r="AI79" s="276"/>
      <c r="AJ79" s="277"/>
      <c r="AK79" s="163"/>
      <c r="AL79" s="163"/>
      <c r="AM79" s="164"/>
      <c r="AN79" s="168"/>
      <c r="AO79" s="169"/>
      <c r="AP79" s="170"/>
      <c r="AQ79" s="171"/>
      <c r="AR79" s="163"/>
      <c r="AS79" s="168"/>
      <c r="AT79" s="169"/>
      <c r="AU79" s="108"/>
      <c r="AV79" s="172"/>
      <c r="AW79" s="260"/>
      <c r="AX79" s="212"/>
      <c r="AY79" s="111"/>
    </row>
    <row r="80" spans="1:51" s="174" customFormat="1" x14ac:dyDescent="0.2">
      <c r="A80" s="161" t="s">
        <v>166</v>
      </c>
      <c r="B80" s="115"/>
      <c r="C80" s="116"/>
      <c r="D80" s="167"/>
      <c r="E80" s="118"/>
      <c r="F80" s="119"/>
      <c r="G80" s="273"/>
      <c r="H80" s="120"/>
      <c r="I80" s="121"/>
      <c r="J80" s="119"/>
      <c r="K80" s="274"/>
      <c r="L80" s="273"/>
      <c r="M80" s="122"/>
      <c r="N80" s="162">
        <v>4400</v>
      </c>
      <c r="O80" s="164"/>
      <c r="P80" s="164"/>
      <c r="Q80" s="275"/>
      <c r="S80" s="161" t="s">
        <v>166</v>
      </c>
      <c r="T80" s="115"/>
      <c r="U80" s="123"/>
      <c r="V80" s="123"/>
      <c r="W80" s="123"/>
      <c r="X80" s="124"/>
      <c r="Y80" s="203"/>
      <c r="Z80" s="121"/>
      <c r="AA80" s="121"/>
      <c r="AB80" s="121"/>
      <c r="AC80" s="152"/>
      <c r="AD80" s="181"/>
      <c r="AE80" s="203"/>
      <c r="AF80" s="121"/>
      <c r="AG80" s="121"/>
      <c r="AH80" s="152"/>
      <c r="AI80" s="276"/>
      <c r="AJ80" s="277"/>
      <c r="AK80" s="180"/>
      <c r="AL80" s="180"/>
      <c r="AM80" s="176"/>
      <c r="AN80" s="155"/>
      <c r="AO80" s="156"/>
      <c r="AP80" s="157"/>
      <c r="AQ80" s="158"/>
      <c r="AR80" s="180"/>
      <c r="AS80" s="155"/>
      <c r="AT80" s="156"/>
      <c r="AU80" s="108"/>
      <c r="AV80" s="177"/>
      <c r="AW80" s="246"/>
      <c r="AX80" s="214"/>
      <c r="AY80" s="134">
        <v>39</v>
      </c>
    </row>
    <row r="81" spans="1:51" s="174" customFormat="1" x14ac:dyDescent="0.2">
      <c r="A81" s="161" t="s">
        <v>167</v>
      </c>
      <c r="B81" s="115"/>
      <c r="C81" s="116"/>
      <c r="D81" s="167"/>
      <c r="E81" s="118"/>
      <c r="F81" s="119"/>
      <c r="G81" s="273"/>
      <c r="H81" s="120"/>
      <c r="I81" s="121"/>
      <c r="J81" s="119"/>
      <c r="K81" s="274"/>
      <c r="L81" s="273"/>
      <c r="M81" s="122"/>
      <c r="N81" s="162">
        <v>4400</v>
      </c>
      <c r="O81" s="164"/>
      <c r="P81" s="164"/>
      <c r="Q81" s="275"/>
      <c r="S81" s="161" t="s">
        <v>167</v>
      </c>
      <c r="T81" s="115"/>
      <c r="U81" s="123"/>
      <c r="V81" s="123"/>
      <c r="W81" s="123"/>
      <c r="X81" s="124"/>
      <c r="Y81" s="203"/>
      <c r="Z81" s="121"/>
      <c r="AA81" s="121"/>
      <c r="AB81" s="121"/>
      <c r="AC81" s="200"/>
      <c r="AD81" s="162"/>
      <c r="AE81" s="203"/>
      <c r="AF81" s="121"/>
      <c r="AG81" s="121"/>
      <c r="AH81" s="200"/>
      <c r="AI81" s="276"/>
      <c r="AJ81" s="277"/>
      <c r="AK81" s="163"/>
      <c r="AL81" s="163"/>
      <c r="AM81" s="164"/>
      <c r="AN81" s="168"/>
      <c r="AO81" s="169"/>
      <c r="AP81" s="170"/>
      <c r="AQ81" s="171"/>
      <c r="AR81" s="163"/>
      <c r="AS81" s="168"/>
      <c r="AT81" s="169"/>
      <c r="AU81" s="108"/>
      <c r="AV81" s="172"/>
      <c r="AW81" s="246"/>
      <c r="AX81" s="212"/>
      <c r="AY81" s="111"/>
    </row>
    <row r="82" spans="1:51" s="174" customFormat="1" x14ac:dyDescent="0.2">
      <c r="A82" s="139" t="s">
        <v>168</v>
      </c>
      <c r="B82" s="115"/>
      <c r="C82" s="116"/>
      <c r="D82" s="167"/>
      <c r="E82" s="118"/>
      <c r="F82" s="119"/>
      <c r="G82" s="273"/>
      <c r="H82" s="120"/>
      <c r="I82" s="121"/>
      <c r="J82" s="119"/>
      <c r="K82" s="274"/>
      <c r="L82" s="273"/>
      <c r="M82" s="122"/>
      <c r="N82" s="162">
        <v>4400</v>
      </c>
      <c r="O82" s="164"/>
      <c r="P82" s="164"/>
      <c r="Q82" s="275"/>
      <c r="S82" s="139" t="s">
        <v>168</v>
      </c>
      <c r="T82" s="115"/>
      <c r="U82" s="123"/>
      <c r="V82" s="123"/>
      <c r="W82" s="123"/>
      <c r="X82" s="124"/>
      <c r="Y82" s="203"/>
      <c r="Z82" s="121"/>
      <c r="AA82" s="121"/>
      <c r="AB82" s="121"/>
      <c r="AC82" s="152"/>
      <c r="AD82" s="181"/>
      <c r="AE82" s="203"/>
      <c r="AF82" s="121"/>
      <c r="AG82" s="121"/>
      <c r="AH82" s="152"/>
      <c r="AI82" s="276"/>
      <c r="AJ82" s="277"/>
      <c r="AK82" s="180"/>
      <c r="AL82" s="180"/>
      <c r="AM82" s="176"/>
      <c r="AN82" s="155"/>
      <c r="AO82" s="156"/>
      <c r="AP82" s="157"/>
      <c r="AQ82" s="158"/>
      <c r="AR82" s="180"/>
      <c r="AS82" s="155"/>
      <c r="AT82" s="156"/>
      <c r="AU82" s="108"/>
      <c r="AV82" s="177"/>
      <c r="AW82" s="246"/>
      <c r="AX82" s="214"/>
      <c r="AY82" s="134">
        <v>40</v>
      </c>
    </row>
    <row r="83" spans="1:51" s="174" customFormat="1" x14ac:dyDescent="0.2">
      <c r="A83" s="161" t="s">
        <v>169</v>
      </c>
      <c r="B83" s="115"/>
      <c r="C83" s="116"/>
      <c r="D83" s="167"/>
      <c r="E83" s="118"/>
      <c r="F83" s="119"/>
      <c r="G83" s="273"/>
      <c r="H83" s="120"/>
      <c r="I83" s="121"/>
      <c r="J83" s="119"/>
      <c r="K83" s="274"/>
      <c r="L83" s="273"/>
      <c r="M83" s="122"/>
      <c r="N83" s="162">
        <v>4400</v>
      </c>
      <c r="O83" s="164"/>
      <c r="P83" s="164"/>
      <c r="Q83" s="275"/>
      <c r="S83" s="161" t="s">
        <v>169</v>
      </c>
      <c r="T83" s="115"/>
      <c r="U83" s="123"/>
      <c r="V83" s="123"/>
      <c r="W83" s="123"/>
      <c r="X83" s="124"/>
      <c r="Y83" s="203"/>
      <c r="Z83" s="121"/>
      <c r="AA83" s="121"/>
      <c r="AB83" s="121"/>
      <c r="AC83" s="200"/>
      <c r="AD83" s="162"/>
      <c r="AE83" s="203"/>
      <c r="AF83" s="121"/>
      <c r="AG83" s="121"/>
      <c r="AH83" s="200"/>
      <c r="AI83" s="276"/>
      <c r="AJ83" s="277"/>
      <c r="AK83" s="163"/>
      <c r="AL83" s="163"/>
      <c r="AM83" s="164"/>
      <c r="AN83" s="168"/>
      <c r="AO83" s="169"/>
      <c r="AP83" s="170"/>
      <c r="AQ83" s="171"/>
      <c r="AR83" s="163"/>
      <c r="AS83" s="168"/>
      <c r="AT83" s="169"/>
      <c r="AU83" s="108"/>
      <c r="AV83" s="172"/>
      <c r="AW83" s="246"/>
      <c r="AX83" s="212"/>
      <c r="AY83" s="111"/>
    </row>
    <row r="84" spans="1:51" s="174" customFormat="1" x14ac:dyDescent="0.2">
      <c r="A84" s="161" t="s">
        <v>170</v>
      </c>
      <c r="B84" s="115"/>
      <c r="C84" s="116"/>
      <c r="D84" s="167"/>
      <c r="E84" s="118"/>
      <c r="F84" s="119"/>
      <c r="G84" s="273"/>
      <c r="H84" s="120"/>
      <c r="I84" s="121"/>
      <c r="J84" s="119"/>
      <c r="K84" s="274"/>
      <c r="L84" s="273"/>
      <c r="M84" s="122"/>
      <c r="N84" s="162">
        <v>4400</v>
      </c>
      <c r="O84" s="164"/>
      <c r="P84" s="164"/>
      <c r="Q84" s="275"/>
      <c r="S84" s="161" t="s">
        <v>170</v>
      </c>
      <c r="T84" s="115"/>
      <c r="U84" s="123"/>
      <c r="V84" s="123"/>
      <c r="W84" s="123"/>
      <c r="X84" s="124"/>
      <c r="Y84" s="203"/>
      <c r="Z84" s="121"/>
      <c r="AA84" s="121"/>
      <c r="AB84" s="121"/>
      <c r="AC84" s="152"/>
      <c r="AD84" s="181"/>
      <c r="AE84" s="203"/>
      <c r="AF84" s="121"/>
      <c r="AG84" s="121"/>
      <c r="AH84" s="152"/>
      <c r="AI84" s="276"/>
      <c r="AJ84" s="277"/>
      <c r="AK84" s="180"/>
      <c r="AL84" s="180"/>
      <c r="AM84" s="176"/>
      <c r="AN84" s="155"/>
      <c r="AO84" s="156"/>
      <c r="AP84" s="157"/>
      <c r="AQ84" s="158"/>
      <c r="AR84" s="180"/>
      <c r="AS84" s="155"/>
      <c r="AT84" s="156"/>
      <c r="AU84" s="108"/>
      <c r="AV84" s="177"/>
      <c r="AW84" s="246"/>
      <c r="AX84" s="214"/>
      <c r="AY84" s="134">
        <v>41</v>
      </c>
    </row>
    <row r="85" spans="1:51" s="174" customFormat="1" x14ac:dyDescent="0.2">
      <c r="A85" s="161" t="s">
        <v>171</v>
      </c>
      <c r="B85" s="115"/>
      <c r="C85" s="116"/>
      <c r="D85" s="167"/>
      <c r="E85" s="118"/>
      <c r="F85" s="119"/>
      <c r="G85" s="273"/>
      <c r="H85" s="120"/>
      <c r="I85" s="121"/>
      <c r="J85" s="119"/>
      <c r="K85" s="274"/>
      <c r="L85" s="273"/>
      <c r="M85" s="122"/>
      <c r="N85" s="162">
        <v>4400</v>
      </c>
      <c r="O85" s="164"/>
      <c r="P85" s="164"/>
      <c r="Q85" s="275"/>
      <c r="S85" s="161" t="s">
        <v>171</v>
      </c>
      <c r="T85" s="115"/>
      <c r="U85" s="123"/>
      <c r="V85" s="123"/>
      <c r="W85" s="123"/>
      <c r="X85" s="124"/>
      <c r="Y85" s="203"/>
      <c r="Z85" s="121"/>
      <c r="AA85" s="121"/>
      <c r="AB85" s="121"/>
      <c r="AC85" s="200"/>
      <c r="AD85" s="162"/>
      <c r="AE85" s="203"/>
      <c r="AF85" s="121"/>
      <c r="AG85" s="121"/>
      <c r="AH85" s="200"/>
      <c r="AI85" s="276"/>
      <c r="AJ85" s="277"/>
      <c r="AK85" s="278"/>
      <c r="AL85" s="278"/>
      <c r="AM85" s="279"/>
      <c r="AN85" s="280"/>
      <c r="AO85" s="281"/>
      <c r="AP85" s="282"/>
      <c r="AQ85" s="283"/>
      <c r="AR85" s="278"/>
      <c r="AS85" s="280"/>
      <c r="AT85" s="281"/>
      <c r="AU85" s="272"/>
      <c r="AV85" s="172"/>
      <c r="AW85" s="246"/>
      <c r="AX85" s="212"/>
      <c r="AY85" s="111"/>
    </row>
    <row r="86" spans="1:51" s="174" customFormat="1" x14ac:dyDescent="0.2">
      <c r="A86" s="139" t="s">
        <v>172</v>
      </c>
      <c r="B86" s="115"/>
      <c r="C86" s="116"/>
      <c r="D86" s="167"/>
      <c r="E86" s="118"/>
      <c r="F86" s="119"/>
      <c r="G86" s="273"/>
      <c r="H86" s="120"/>
      <c r="I86" s="121"/>
      <c r="J86" s="119"/>
      <c r="K86" s="274"/>
      <c r="L86" s="273"/>
      <c r="M86" s="122"/>
      <c r="N86" s="162">
        <v>4400</v>
      </c>
      <c r="O86" s="279"/>
      <c r="P86" s="279"/>
      <c r="Q86" s="275"/>
      <c r="S86" s="139" t="s">
        <v>172</v>
      </c>
      <c r="T86" s="115"/>
      <c r="U86" s="123"/>
      <c r="V86" s="123"/>
      <c r="W86" s="123"/>
      <c r="X86" s="124"/>
      <c r="Y86" s="203"/>
      <c r="Z86" s="121"/>
      <c r="AA86" s="121"/>
      <c r="AB86" s="121"/>
      <c r="AC86" s="152"/>
      <c r="AD86" s="181"/>
      <c r="AE86" s="203"/>
      <c r="AF86" s="121"/>
      <c r="AG86" s="121"/>
      <c r="AH86" s="200"/>
      <c r="AI86" s="276"/>
      <c r="AJ86" s="277"/>
      <c r="AK86" s="180"/>
      <c r="AL86" s="180"/>
      <c r="AM86" s="176"/>
      <c r="AN86" s="155"/>
      <c r="AO86" s="156"/>
      <c r="AP86" s="157"/>
      <c r="AQ86" s="158"/>
      <c r="AR86" s="180"/>
      <c r="AS86" s="155"/>
      <c r="AT86" s="156"/>
      <c r="AU86" s="285"/>
      <c r="AV86" s="177"/>
      <c r="AW86" s="246"/>
      <c r="AX86" s="214"/>
      <c r="AY86" s="134">
        <v>42</v>
      </c>
    </row>
    <row r="87" spans="1:51" s="174" customFormat="1" x14ac:dyDescent="0.2">
      <c r="A87" s="161" t="s">
        <v>173</v>
      </c>
      <c r="B87" s="115"/>
      <c r="C87" s="116"/>
      <c r="D87" s="167"/>
      <c r="E87" s="118"/>
      <c r="F87" s="119"/>
      <c r="G87" s="273"/>
      <c r="H87" s="120"/>
      <c r="I87" s="121"/>
      <c r="J87" s="119"/>
      <c r="K87" s="274"/>
      <c r="L87" s="273"/>
      <c r="M87" s="122"/>
      <c r="N87" s="162">
        <v>4400</v>
      </c>
      <c r="O87" s="279"/>
      <c r="P87" s="279"/>
      <c r="Q87" s="275"/>
      <c r="S87" s="161" t="s">
        <v>173</v>
      </c>
      <c r="T87" s="115"/>
      <c r="U87" s="123"/>
      <c r="V87" s="123"/>
      <c r="W87" s="123"/>
      <c r="X87" s="124"/>
      <c r="Y87" s="203"/>
      <c r="Z87" s="121"/>
      <c r="AA87" s="121"/>
      <c r="AB87" s="121"/>
      <c r="AC87" s="200"/>
      <c r="AD87" s="273"/>
      <c r="AE87" s="203"/>
      <c r="AF87" s="121"/>
      <c r="AG87" s="121"/>
      <c r="AH87" s="200"/>
      <c r="AI87" s="276"/>
      <c r="AJ87" s="277"/>
      <c r="AK87" s="163"/>
      <c r="AL87" s="163"/>
      <c r="AM87" s="164"/>
      <c r="AN87" s="168"/>
      <c r="AO87" s="169"/>
      <c r="AP87" s="170"/>
      <c r="AQ87" s="171"/>
      <c r="AR87" s="163"/>
      <c r="AS87" s="168"/>
      <c r="AT87" s="169"/>
      <c r="AU87" s="285"/>
      <c r="AV87" s="172"/>
      <c r="AW87" s="246"/>
      <c r="AX87" s="212"/>
      <c r="AY87" s="111"/>
    </row>
    <row r="88" spans="1:51" s="174" customFormat="1" x14ac:dyDescent="0.2">
      <c r="A88" s="161" t="s">
        <v>174</v>
      </c>
      <c r="B88" s="115"/>
      <c r="C88" s="116"/>
      <c r="D88" s="167"/>
      <c r="E88" s="118"/>
      <c r="F88" s="119"/>
      <c r="G88" s="273"/>
      <c r="H88" s="120"/>
      <c r="I88" s="121"/>
      <c r="J88" s="119"/>
      <c r="K88" s="274"/>
      <c r="L88" s="273"/>
      <c r="M88" s="122"/>
      <c r="N88" s="162">
        <v>4400</v>
      </c>
      <c r="O88" s="279"/>
      <c r="P88" s="279"/>
      <c r="Q88" s="275"/>
      <c r="S88" s="161" t="s">
        <v>174</v>
      </c>
      <c r="T88" s="115"/>
      <c r="U88" s="123"/>
      <c r="V88" s="123"/>
      <c r="W88" s="123"/>
      <c r="X88" s="124"/>
      <c r="Y88" s="203"/>
      <c r="Z88" s="121"/>
      <c r="AA88" s="121"/>
      <c r="AB88" s="121"/>
      <c r="AC88" s="152"/>
      <c r="AD88" s="181"/>
      <c r="AE88" s="203"/>
      <c r="AF88" s="121"/>
      <c r="AG88" s="121"/>
      <c r="AH88" s="200"/>
      <c r="AI88" s="276"/>
      <c r="AJ88" s="277"/>
      <c r="AK88" s="180"/>
      <c r="AL88" s="180"/>
      <c r="AM88" s="176"/>
      <c r="AN88" s="155"/>
      <c r="AO88" s="156"/>
      <c r="AP88" s="157"/>
      <c r="AQ88" s="158"/>
      <c r="AR88" s="180"/>
      <c r="AS88" s="155"/>
      <c r="AT88" s="156"/>
      <c r="AU88" s="285"/>
      <c r="AV88" s="177"/>
      <c r="AW88" s="246"/>
      <c r="AX88" s="214"/>
      <c r="AY88" s="134">
        <v>43</v>
      </c>
    </row>
    <row r="89" spans="1:51" s="174" customFormat="1" x14ac:dyDescent="0.2">
      <c r="A89" s="161" t="s">
        <v>175</v>
      </c>
      <c r="B89" s="115"/>
      <c r="C89" s="116"/>
      <c r="D89" s="167"/>
      <c r="E89" s="118"/>
      <c r="F89" s="119"/>
      <c r="G89" s="273"/>
      <c r="H89" s="120"/>
      <c r="I89" s="121"/>
      <c r="J89" s="119"/>
      <c r="K89" s="274"/>
      <c r="L89" s="273"/>
      <c r="M89" s="122"/>
      <c r="N89" s="162">
        <v>4400</v>
      </c>
      <c r="O89" s="279"/>
      <c r="P89" s="279"/>
      <c r="Q89" s="275"/>
      <c r="S89" s="161" t="s">
        <v>175</v>
      </c>
      <c r="T89" s="115"/>
      <c r="U89" s="123"/>
      <c r="V89" s="123"/>
      <c r="W89" s="123"/>
      <c r="X89" s="124"/>
      <c r="Y89" s="203"/>
      <c r="Z89" s="121"/>
      <c r="AA89" s="121"/>
      <c r="AB89" s="121"/>
      <c r="AC89" s="200"/>
      <c r="AD89" s="162"/>
      <c r="AE89" s="203"/>
      <c r="AF89" s="121"/>
      <c r="AG89" s="121"/>
      <c r="AH89" s="200"/>
      <c r="AI89" s="276"/>
      <c r="AJ89" s="277"/>
      <c r="AK89" s="163"/>
      <c r="AL89" s="163"/>
      <c r="AM89" s="164"/>
      <c r="AN89" s="168"/>
      <c r="AO89" s="169"/>
      <c r="AP89" s="170"/>
      <c r="AQ89" s="171"/>
      <c r="AR89" s="163"/>
      <c r="AS89" s="168"/>
      <c r="AT89" s="169"/>
      <c r="AU89" s="285"/>
      <c r="AV89" s="172"/>
      <c r="AW89" s="246"/>
      <c r="AX89" s="212"/>
      <c r="AY89" s="111"/>
    </row>
    <row r="90" spans="1:51" s="174" customFormat="1" x14ac:dyDescent="0.2">
      <c r="A90" s="139" t="s">
        <v>176</v>
      </c>
      <c r="B90" s="115"/>
      <c r="C90" s="116"/>
      <c r="D90" s="167"/>
      <c r="E90" s="118"/>
      <c r="F90" s="119"/>
      <c r="G90" s="273"/>
      <c r="H90" s="120"/>
      <c r="I90" s="121"/>
      <c r="J90" s="119"/>
      <c r="K90" s="274"/>
      <c r="L90" s="273"/>
      <c r="M90" s="122"/>
      <c r="N90" s="162">
        <v>4400</v>
      </c>
      <c r="O90" s="279"/>
      <c r="P90" s="279"/>
      <c r="Q90" s="275"/>
      <c r="S90" s="139" t="s">
        <v>176</v>
      </c>
      <c r="T90" s="115"/>
      <c r="U90" s="123"/>
      <c r="V90" s="123"/>
      <c r="W90" s="123"/>
      <c r="X90" s="124"/>
      <c r="Y90" s="203"/>
      <c r="Z90" s="121"/>
      <c r="AA90" s="121"/>
      <c r="AB90" s="121"/>
      <c r="AC90" s="152"/>
      <c r="AD90" s="181"/>
      <c r="AE90" s="203"/>
      <c r="AF90" s="121"/>
      <c r="AG90" s="121"/>
      <c r="AH90" s="200"/>
      <c r="AI90" s="276"/>
      <c r="AJ90" s="277"/>
      <c r="AK90" s="180"/>
      <c r="AL90" s="180"/>
      <c r="AM90" s="176"/>
      <c r="AN90" s="155"/>
      <c r="AO90" s="156"/>
      <c r="AP90" s="157"/>
      <c r="AQ90" s="158"/>
      <c r="AR90" s="180"/>
      <c r="AS90" s="155"/>
      <c r="AT90" s="156"/>
      <c r="AU90" s="285"/>
      <c r="AV90" s="177"/>
      <c r="AW90" s="246"/>
      <c r="AX90" s="214"/>
      <c r="AY90" s="134">
        <v>44</v>
      </c>
    </row>
    <row r="91" spans="1:51" s="174" customFormat="1" x14ac:dyDescent="0.2">
      <c r="A91" s="161" t="s">
        <v>177</v>
      </c>
      <c r="B91" s="115"/>
      <c r="C91" s="116"/>
      <c r="D91" s="167"/>
      <c r="E91" s="118"/>
      <c r="F91" s="119"/>
      <c r="G91" s="273"/>
      <c r="H91" s="120"/>
      <c r="I91" s="121"/>
      <c r="J91" s="119"/>
      <c r="K91" s="274"/>
      <c r="L91" s="273"/>
      <c r="M91" s="122"/>
      <c r="N91" s="162">
        <v>4400</v>
      </c>
      <c r="O91" s="279"/>
      <c r="P91" s="279"/>
      <c r="Q91" s="275"/>
      <c r="S91" s="161" t="s">
        <v>177</v>
      </c>
      <c r="T91" s="115"/>
      <c r="U91" s="123"/>
      <c r="V91" s="123"/>
      <c r="W91" s="123"/>
      <c r="X91" s="124"/>
      <c r="Y91" s="203"/>
      <c r="Z91" s="121"/>
      <c r="AA91" s="121"/>
      <c r="AB91" s="121"/>
      <c r="AC91" s="200"/>
      <c r="AD91" s="162"/>
      <c r="AE91" s="203"/>
      <c r="AF91" s="121"/>
      <c r="AG91" s="121"/>
      <c r="AH91" s="200"/>
      <c r="AI91" s="276"/>
      <c r="AJ91" s="277"/>
      <c r="AK91" s="163"/>
      <c r="AL91" s="163"/>
      <c r="AM91" s="164"/>
      <c r="AN91" s="168"/>
      <c r="AO91" s="169"/>
      <c r="AP91" s="170"/>
      <c r="AQ91" s="171"/>
      <c r="AR91" s="163"/>
      <c r="AS91" s="168"/>
      <c r="AT91" s="169"/>
      <c r="AU91" s="285"/>
      <c r="AV91" s="172"/>
      <c r="AW91" s="246"/>
      <c r="AX91" s="212"/>
      <c r="AY91" s="111"/>
    </row>
    <row r="92" spans="1:51" s="174" customFormat="1" x14ac:dyDescent="0.2">
      <c r="A92" s="161" t="s">
        <v>178</v>
      </c>
      <c r="B92" s="115"/>
      <c r="C92" s="116"/>
      <c r="D92" s="167"/>
      <c r="E92" s="118"/>
      <c r="F92" s="119"/>
      <c r="G92" s="273"/>
      <c r="H92" s="120"/>
      <c r="I92" s="121"/>
      <c r="J92" s="119"/>
      <c r="K92" s="274"/>
      <c r="L92" s="273"/>
      <c r="M92" s="122"/>
      <c r="N92" s="162">
        <v>4400</v>
      </c>
      <c r="O92" s="279"/>
      <c r="P92" s="279"/>
      <c r="Q92" s="275"/>
      <c r="S92" s="161" t="s">
        <v>178</v>
      </c>
      <c r="T92" s="115"/>
      <c r="U92" s="123"/>
      <c r="V92" s="123"/>
      <c r="W92" s="123"/>
      <c r="X92" s="124"/>
      <c r="Y92" s="203"/>
      <c r="Z92" s="121"/>
      <c r="AA92" s="121"/>
      <c r="AB92" s="121"/>
      <c r="AC92" s="152"/>
      <c r="AD92" s="181"/>
      <c r="AE92" s="203"/>
      <c r="AF92" s="121"/>
      <c r="AG92" s="121"/>
      <c r="AH92" s="200"/>
      <c r="AI92" s="276"/>
      <c r="AJ92" s="277"/>
      <c r="AK92" s="180"/>
      <c r="AL92" s="180"/>
      <c r="AM92" s="176"/>
      <c r="AN92" s="155"/>
      <c r="AO92" s="156"/>
      <c r="AP92" s="157"/>
      <c r="AQ92" s="158"/>
      <c r="AR92" s="180"/>
      <c r="AS92" s="155"/>
      <c r="AT92" s="156"/>
      <c r="AU92" s="285"/>
      <c r="AV92" s="177"/>
      <c r="AW92" s="246"/>
      <c r="AX92" s="214"/>
      <c r="AY92" s="134">
        <v>45</v>
      </c>
    </row>
    <row r="93" spans="1:51" s="174" customFormat="1" x14ac:dyDescent="0.2">
      <c r="A93" s="161" t="s">
        <v>179</v>
      </c>
      <c r="B93" s="115"/>
      <c r="C93" s="116"/>
      <c r="D93" s="167"/>
      <c r="E93" s="118"/>
      <c r="F93" s="119"/>
      <c r="G93" s="273"/>
      <c r="H93" s="120"/>
      <c r="I93" s="121"/>
      <c r="J93" s="119"/>
      <c r="K93" s="274"/>
      <c r="L93" s="273"/>
      <c r="M93" s="122"/>
      <c r="N93" s="162">
        <v>4400</v>
      </c>
      <c r="O93" s="279"/>
      <c r="P93" s="279"/>
      <c r="Q93" s="275"/>
      <c r="S93" s="161" t="s">
        <v>179</v>
      </c>
      <c r="T93" s="115"/>
      <c r="U93" s="123"/>
      <c r="V93" s="123"/>
      <c r="W93" s="123"/>
      <c r="X93" s="124"/>
      <c r="Y93" s="203"/>
      <c r="Z93" s="121"/>
      <c r="AA93" s="121"/>
      <c r="AB93" s="121"/>
      <c r="AC93" s="200"/>
      <c r="AD93" s="273"/>
      <c r="AE93" s="203"/>
      <c r="AF93" s="121"/>
      <c r="AG93" s="121"/>
      <c r="AH93" s="200"/>
      <c r="AI93" s="276"/>
      <c r="AJ93" s="277"/>
      <c r="AK93" s="278"/>
      <c r="AL93" s="278"/>
      <c r="AM93" s="279"/>
      <c r="AN93" s="280"/>
      <c r="AO93" s="281"/>
      <c r="AP93" s="282"/>
      <c r="AQ93" s="283"/>
      <c r="AR93" s="278"/>
      <c r="AS93" s="280"/>
      <c r="AT93" s="281"/>
      <c r="AU93" s="285"/>
      <c r="AV93" s="172"/>
      <c r="AW93" s="246"/>
      <c r="AX93" s="212"/>
      <c r="AY93" s="111"/>
    </row>
    <row r="94" spans="1:51" s="174" customFormat="1" ht="13.5" thickBot="1" x14ac:dyDescent="0.25">
      <c r="A94" s="139" t="s">
        <v>180</v>
      </c>
      <c r="B94" s="286"/>
      <c r="C94" s="287"/>
      <c r="D94" s="288"/>
      <c r="E94" s="289"/>
      <c r="F94" s="290"/>
      <c r="G94" s="273"/>
      <c r="H94" s="291"/>
      <c r="I94" s="292"/>
      <c r="J94" s="290"/>
      <c r="K94" s="274"/>
      <c r="L94" s="273"/>
      <c r="M94" s="293"/>
      <c r="N94" s="162">
        <v>4400</v>
      </c>
      <c r="O94" s="279"/>
      <c r="P94" s="279"/>
      <c r="Q94" s="275"/>
      <c r="S94" s="139" t="s">
        <v>180</v>
      </c>
      <c r="T94" s="286"/>
      <c r="U94" s="294"/>
      <c r="V94" s="294"/>
      <c r="W94" s="294"/>
      <c r="X94" s="295"/>
      <c r="Y94" s="296"/>
      <c r="Z94" s="292"/>
      <c r="AA94" s="292"/>
      <c r="AB94" s="292"/>
      <c r="AC94" s="297"/>
      <c r="AD94" s="273"/>
      <c r="AE94" s="296"/>
      <c r="AF94" s="292"/>
      <c r="AG94" s="292"/>
      <c r="AH94" s="297"/>
      <c r="AI94" s="276"/>
      <c r="AJ94" s="277"/>
      <c r="AK94" s="278"/>
      <c r="AL94" s="278"/>
      <c r="AM94" s="279"/>
      <c r="AN94" s="280"/>
      <c r="AO94" s="281"/>
      <c r="AP94" s="282"/>
      <c r="AQ94" s="283"/>
      <c r="AR94" s="278"/>
      <c r="AS94" s="280"/>
      <c r="AT94" s="281"/>
      <c r="AU94" s="285"/>
      <c r="AV94" s="298"/>
      <c r="AW94" s="299"/>
      <c r="AX94" s="284"/>
      <c r="AY94" s="134">
        <v>46</v>
      </c>
    </row>
    <row r="95" spans="1:51" s="312" customFormat="1" ht="13.5" thickBot="1" x14ac:dyDescent="0.25">
      <c r="A95" s="300"/>
      <c r="B95" s="301">
        <f>SUM(B5:B94)</f>
        <v>0</v>
      </c>
      <c r="C95" s="302">
        <v>0</v>
      </c>
      <c r="D95" s="303">
        <f t="shared" ref="D95:L95" si="5">SUM(D5:D94)</f>
        <v>0</v>
      </c>
      <c r="E95" s="304">
        <f t="shared" si="5"/>
        <v>29675</v>
      </c>
      <c r="F95" s="305">
        <f t="shared" si="5"/>
        <v>6500</v>
      </c>
      <c r="G95" s="306">
        <f t="shared" si="5"/>
        <v>78100</v>
      </c>
      <c r="H95" s="304">
        <f t="shared" si="5"/>
        <v>18725</v>
      </c>
      <c r="I95" s="304">
        <f t="shared" si="5"/>
        <v>6360</v>
      </c>
      <c r="J95" s="305">
        <f t="shared" si="5"/>
        <v>3350</v>
      </c>
      <c r="K95" s="306">
        <f t="shared" si="5"/>
        <v>12620</v>
      </c>
      <c r="L95" s="307">
        <f t="shared" si="5"/>
        <v>400</v>
      </c>
      <c r="M95" s="308">
        <f>SUM(M8:M52)</f>
        <v>155730</v>
      </c>
      <c r="N95" s="309"/>
      <c r="O95" s="310">
        <f>SUM(O8:O94)</f>
        <v>-2670</v>
      </c>
      <c r="P95" s="310"/>
      <c r="Q95" s="311" t="s">
        <v>181</v>
      </c>
      <c r="S95" s="313"/>
      <c r="T95" s="314">
        <f t="shared" ref="T95:AU95" si="6">SUM(T5:T94)</f>
        <v>21960</v>
      </c>
      <c r="U95" s="315">
        <f t="shared" si="6"/>
        <v>27315</v>
      </c>
      <c r="V95" s="315">
        <f t="shared" si="6"/>
        <v>39310</v>
      </c>
      <c r="W95" s="315">
        <f t="shared" si="6"/>
        <v>24500</v>
      </c>
      <c r="X95" s="316">
        <f t="shared" si="6"/>
        <v>3770</v>
      </c>
      <c r="Y95" s="317">
        <f t="shared" si="6"/>
        <v>14125</v>
      </c>
      <c r="Z95" s="318">
        <f t="shared" si="6"/>
        <v>3000</v>
      </c>
      <c r="AA95" s="318">
        <f t="shared" si="6"/>
        <v>54900</v>
      </c>
      <c r="AB95" s="318">
        <f t="shared" si="6"/>
        <v>3500</v>
      </c>
      <c r="AC95" s="319">
        <f t="shared" si="6"/>
        <v>6750</v>
      </c>
      <c r="AD95" s="320">
        <f t="shared" si="6"/>
        <v>44900</v>
      </c>
      <c r="AE95" s="321">
        <f t="shared" si="6"/>
        <v>2675</v>
      </c>
      <c r="AF95" s="304">
        <f t="shared" si="6"/>
        <v>29015</v>
      </c>
      <c r="AG95" s="304">
        <f t="shared" si="6"/>
        <v>57250</v>
      </c>
      <c r="AH95" s="305">
        <f t="shared" si="6"/>
        <v>10675</v>
      </c>
      <c r="AI95" s="322">
        <f t="shared" si="6"/>
        <v>41480</v>
      </c>
      <c r="AJ95" s="323">
        <f t="shared" si="6"/>
        <v>30360</v>
      </c>
      <c r="AK95" s="306">
        <f t="shared" si="6"/>
        <v>8800</v>
      </c>
      <c r="AL95" s="324">
        <f t="shared" si="6"/>
        <v>-5019</v>
      </c>
      <c r="AM95" s="324">
        <f t="shared" si="6"/>
        <v>5350</v>
      </c>
      <c r="AN95" s="325">
        <f t="shared" si="6"/>
        <v>-31832.42</v>
      </c>
      <c r="AO95" s="326">
        <f t="shared" si="6"/>
        <v>-28786.63</v>
      </c>
      <c r="AP95" s="327">
        <f t="shared" si="6"/>
        <v>-28943.379999999997</v>
      </c>
      <c r="AQ95" s="325">
        <f t="shared" si="6"/>
        <v>38927.5</v>
      </c>
      <c r="AR95" s="328">
        <f t="shared" si="6"/>
        <v>30987.519999999997</v>
      </c>
      <c r="AS95" s="325">
        <f t="shared" si="6"/>
        <v>-18480.919999999998</v>
      </c>
      <c r="AT95" s="325">
        <f t="shared" si="6"/>
        <v>17758</v>
      </c>
      <c r="AU95" s="329">
        <f t="shared" si="6"/>
        <v>404245.6700000001</v>
      </c>
      <c r="AV95" s="313"/>
      <c r="AW95" s="330">
        <f>SUM(AW5:AW94)</f>
        <v>-200000</v>
      </c>
      <c r="AX95" s="331">
        <f>SUM(AX5:AX94)</f>
        <v>494959.75</v>
      </c>
      <c r="AY95" s="44"/>
    </row>
    <row r="96" spans="1:51" ht="13.5" thickBot="1" x14ac:dyDescent="0.25">
      <c r="B96" s="332">
        <f>B95+D95</f>
        <v>0</v>
      </c>
      <c r="C96" s="333"/>
      <c r="D96" s="334"/>
      <c r="E96" s="335">
        <f>E95+F95</f>
        <v>36175</v>
      </c>
      <c r="F96" s="336"/>
      <c r="G96" s="337">
        <f>G95</f>
        <v>78100</v>
      </c>
      <c r="H96" s="338">
        <f>H95+I95+J95</f>
        <v>28435</v>
      </c>
      <c r="I96" s="338"/>
      <c r="J96" s="339"/>
      <c r="K96" s="340">
        <f>K95</f>
        <v>12620</v>
      </c>
      <c r="T96" s="341">
        <f>T95+U95+V95+W95+X95</f>
        <v>116855</v>
      </c>
      <c r="U96" s="342"/>
      <c r="V96" s="342"/>
      <c r="W96" s="342"/>
      <c r="X96" s="343"/>
      <c r="Y96" s="344">
        <f>Y95+Z95+AA95+AB95+AC95</f>
        <v>82275</v>
      </c>
      <c r="Z96" s="345"/>
      <c r="AA96" s="345"/>
      <c r="AB96" s="345"/>
      <c r="AC96" s="346"/>
      <c r="AD96" s="340">
        <f>AD95</f>
        <v>44900</v>
      </c>
      <c r="AE96" s="344">
        <f>AE95+AF95+AG95+AH95</f>
        <v>99615</v>
      </c>
      <c r="AF96" s="345"/>
      <c r="AG96" s="345"/>
      <c r="AH96" s="346"/>
      <c r="AI96" s="341">
        <f>AI95+AJ95+AK95</f>
        <v>80640</v>
      </c>
      <c r="AJ96" s="342"/>
      <c r="AK96" s="343"/>
    </row>
    <row r="97" spans="1:49" x14ac:dyDescent="0.2">
      <c r="I97" s="1"/>
      <c r="J97" s="1"/>
      <c r="K97" s="1"/>
      <c r="L97" s="1"/>
    </row>
    <row r="102" spans="1:49" x14ac:dyDescent="0.2">
      <c r="AN102" s="347"/>
      <c r="AW102" s="348"/>
    </row>
    <row r="103" spans="1:49" x14ac:dyDescent="0.2">
      <c r="A103" s="349"/>
      <c r="H103" s="349"/>
      <c r="I103" s="349"/>
      <c r="J103" s="349"/>
      <c r="AN103" s="347"/>
      <c r="AW103" s="348"/>
    </row>
    <row r="104" spans="1:49" x14ac:dyDescent="0.2">
      <c r="I104" s="1"/>
      <c r="J104" s="1"/>
      <c r="AN104" s="347"/>
      <c r="AW104" s="348"/>
    </row>
    <row r="105" spans="1:49" x14ac:dyDescent="0.2">
      <c r="AN105" s="347"/>
      <c r="AW105" s="348"/>
    </row>
    <row r="106" spans="1:49" x14ac:dyDescent="0.2">
      <c r="AN106" s="347"/>
      <c r="AW106" s="348"/>
    </row>
    <row r="107" spans="1:49" x14ac:dyDescent="0.2">
      <c r="AN107" s="347"/>
      <c r="AW107" s="348"/>
    </row>
    <row r="108" spans="1:49" x14ac:dyDescent="0.2">
      <c r="AN108" s="347"/>
      <c r="AW108" s="348"/>
    </row>
    <row r="109" spans="1:49" x14ac:dyDescent="0.2">
      <c r="AN109" s="347"/>
    </row>
    <row r="110" spans="1:49" x14ac:dyDescent="0.2">
      <c r="AN110" s="347"/>
    </row>
    <row r="111" spans="1:49" x14ac:dyDescent="0.2">
      <c r="S111" s="3"/>
      <c r="AN111" s="347"/>
    </row>
    <row r="112" spans="1:49" x14ac:dyDescent="0.2">
      <c r="S112" s="3"/>
      <c r="AN112" s="350"/>
      <c r="AO112" s="347"/>
      <c r="AW112" s="347"/>
    </row>
    <row r="113" spans="4:49" x14ac:dyDescent="0.2">
      <c r="S113" s="3"/>
    </row>
    <row r="114" spans="4:49" x14ac:dyDescent="0.2">
      <c r="S114" s="3"/>
    </row>
    <row r="115" spans="4:49" x14ac:dyDescent="0.2">
      <c r="D115" s="351"/>
      <c r="S115" s="3"/>
      <c r="T115" s="351"/>
      <c r="U115" s="351"/>
      <c r="V115" s="351"/>
      <c r="W115" s="351"/>
      <c r="X115" s="351"/>
      <c r="AD115" s="351"/>
      <c r="AI115" s="351"/>
    </row>
    <row r="116" spans="4:49" x14ac:dyDescent="0.2">
      <c r="D116" s="351"/>
      <c r="S116" s="3"/>
      <c r="T116" s="351"/>
      <c r="U116" s="351"/>
      <c r="V116" s="351"/>
      <c r="W116" s="351"/>
      <c r="X116" s="351"/>
      <c r="AD116" s="351"/>
      <c r="AI116" s="351"/>
    </row>
    <row r="117" spans="4:49" x14ac:dyDescent="0.2">
      <c r="D117" s="351"/>
      <c r="S117" s="3"/>
      <c r="T117" s="351"/>
      <c r="U117" s="351"/>
      <c r="V117" s="351"/>
      <c r="W117" s="351"/>
      <c r="X117" s="351"/>
      <c r="Y117" s="351"/>
      <c r="Z117" s="351"/>
      <c r="AA117" s="351"/>
      <c r="AD117" s="351"/>
      <c r="AI117" s="351"/>
      <c r="AN117" s="347"/>
      <c r="AW117" s="347"/>
    </row>
    <row r="118" spans="4:49" x14ac:dyDescent="0.2">
      <c r="D118" s="351"/>
      <c r="S118" s="3"/>
      <c r="T118" s="351"/>
      <c r="U118" s="351"/>
      <c r="V118" s="351"/>
      <c r="W118" s="351"/>
      <c r="X118" s="351"/>
      <c r="Y118" s="351"/>
      <c r="Z118" s="351"/>
      <c r="AA118" s="351"/>
      <c r="AD118" s="351"/>
      <c r="AI118" s="351"/>
    </row>
    <row r="119" spans="4:49" x14ac:dyDescent="0.2">
      <c r="D119" s="351"/>
      <c r="S119" s="3"/>
      <c r="T119" s="351"/>
      <c r="U119" s="351"/>
      <c r="V119" s="351"/>
      <c r="W119" s="351"/>
      <c r="X119" s="351"/>
      <c r="Y119" s="351"/>
      <c r="Z119" s="351"/>
      <c r="AA119" s="351"/>
      <c r="AD119" s="351"/>
      <c r="AI119" s="351"/>
    </row>
    <row r="120" spans="4:49" x14ac:dyDescent="0.2">
      <c r="D120" s="351"/>
      <c r="S120" s="3"/>
      <c r="T120" s="351"/>
      <c r="U120" s="351"/>
      <c r="V120" s="351"/>
      <c r="W120" s="351"/>
      <c r="X120" s="351"/>
      <c r="Y120" s="351"/>
      <c r="Z120" s="351"/>
      <c r="AA120" s="351"/>
      <c r="AD120" s="351"/>
      <c r="AI120" s="351"/>
    </row>
    <row r="121" spans="4:49" x14ac:dyDescent="0.2">
      <c r="D121" s="351"/>
      <c r="S121" s="3"/>
      <c r="T121" s="351"/>
      <c r="U121" s="351"/>
      <c r="V121" s="351"/>
      <c r="W121" s="351"/>
      <c r="X121" s="351"/>
      <c r="Y121" s="351"/>
      <c r="Z121" s="351"/>
      <c r="AA121" s="351"/>
      <c r="AD121" s="351"/>
      <c r="AI121" s="351"/>
      <c r="AN121" s="347"/>
    </row>
    <row r="122" spans="4:49" x14ac:dyDescent="0.2">
      <c r="D122" s="351"/>
      <c r="S122" s="3"/>
      <c r="T122" s="351"/>
      <c r="U122" s="351"/>
      <c r="V122" s="351"/>
      <c r="W122" s="351"/>
      <c r="X122" s="351"/>
      <c r="Y122" s="351"/>
      <c r="Z122" s="351"/>
      <c r="AA122" s="351"/>
      <c r="AD122" s="351"/>
      <c r="AI122" s="351"/>
    </row>
    <row r="123" spans="4:49" x14ac:dyDescent="0.2">
      <c r="D123" s="351"/>
      <c r="S123" s="3"/>
      <c r="T123" s="351"/>
      <c r="U123" s="351"/>
      <c r="V123" s="351"/>
      <c r="W123" s="351"/>
      <c r="X123" s="351"/>
      <c r="Y123" s="351"/>
      <c r="Z123" s="351"/>
      <c r="AA123" s="351"/>
      <c r="AD123" s="351"/>
      <c r="AI123" s="351"/>
    </row>
    <row r="124" spans="4:49" x14ac:dyDescent="0.2">
      <c r="D124" s="351"/>
      <c r="S124" s="3"/>
      <c r="T124" s="351"/>
      <c r="U124" s="351"/>
      <c r="V124" s="351"/>
      <c r="W124" s="351"/>
      <c r="X124" s="351"/>
      <c r="Y124" s="351"/>
      <c r="Z124" s="351"/>
      <c r="AA124" s="351"/>
      <c r="AD124" s="351"/>
      <c r="AI124" s="351"/>
    </row>
    <row r="125" spans="4:49" x14ac:dyDescent="0.2">
      <c r="D125" s="351"/>
      <c r="S125" s="3"/>
      <c r="T125" s="351"/>
      <c r="U125" s="351"/>
      <c r="V125" s="351"/>
      <c r="W125" s="351"/>
      <c r="X125" s="351"/>
      <c r="Y125" s="351"/>
      <c r="Z125" s="351"/>
      <c r="AA125" s="351"/>
      <c r="AD125" s="351"/>
      <c r="AI125" s="351"/>
    </row>
    <row r="126" spans="4:49" x14ac:dyDescent="0.2">
      <c r="D126" s="351"/>
      <c r="S126" s="3"/>
      <c r="T126" s="351"/>
      <c r="U126" s="351"/>
      <c r="V126" s="351"/>
      <c r="W126" s="351"/>
      <c r="X126" s="351"/>
      <c r="Y126" s="351"/>
      <c r="Z126" s="351"/>
      <c r="AA126" s="351"/>
      <c r="AD126" s="351"/>
      <c r="AI126" s="351"/>
    </row>
    <row r="127" spans="4:49" x14ac:dyDescent="0.2">
      <c r="D127" s="351"/>
      <c r="S127" s="3"/>
      <c r="T127" s="351"/>
      <c r="U127" s="351"/>
      <c r="V127" s="351"/>
      <c r="W127" s="351"/>
      <c r="X127" s="351"/>
      <c r="Y127" s="351"/>
      <c r="Z127" s="351"/>
      <c r="AA127" s="351"/>
      <c r="AD127" s="351"/>
      <c r="AI127" s="351"/>
    </row>
    <row r="128" spans="4:49" x14ac:dyDescent="0.2">
      <c r="D128" s="351"/>
      <c r="S128" s="3"/>
      <c r="T128" s="351"/>
      <c r="U128" s="351"/>
      <c r="V128" s="351"/>
      <c r="W128" s="351"/>
      <c r="X128" s="351"/>
      <c r="Y128" s="351"/>
      <c r="Z128" s="351"/>
      <c r="AA128" s="351"/>
      <c r="AD128" s="351"/>
      <c r="AI128" s="351"/>
    </row>
    <row r="129" spans="4:35" x14ac:dyDescent="0.2">
      <c r="D129" s="351"/>
      <c r="S129" s="3"/>
      <c r="T129" s="351"/>
      <c r="U129" s="351"/>
      <c r="V129" s="351"/>
      <c r="W129" s="351"/>
      <c r="X129" s="351"/>
      <c r="Y129" s="351"/>
      <c r="Z129" s="351"/>
      <c r="AA129" s="351"/>
      <c r="AD129" s="351"/>
      <c r="AI129" s="351"/>
    </row>
    <row r="130" spans="4:35" x14ac:dyDescent="0.2">
      <c r="D130" s="351"/>
      <c r="S130" s="3"/>
      <c r="T130" s="351"/>
      <c r="U130" s="351"/>
      <c r="V130" s="351"/>
      <c r="W130" s="351"/>
      <c r="X130" s="351"/>
      <c r="Y130" s="351"/>
      <c r="Z130" s="351"/>
      <c r="AA130" s="351"/>
      <c r="AD130" s="351"/>
      <c r="AI130" s="351"/>
    </row>
    <row r="131" spans="4:35" x14ac:dyDescent="0.2">
      <c r="D131" s="351"/>
      <c r="S131" s="3"/>
      <c r="T131" s="351"/>
      <c r="U131" s="351"/>
      <c r="V131" s="351"/>
      <c r="W131" s="351"/>
      <c r="X131" s="351"/>
      <c r="Y131" s="351"/>
      <c r="Z131" s="351"/>
      <c r="AA131" s="351"/>
      <c r="AD131" s="351"/>
      <c r="AI131" s="351"/>
    </row>
    <row r="132" spans="4:35" x14ac:dyDescent="0.2">
      <c r="S132" s="3"/>
    </row>
    <row r="133" spans="4:35" x14ac:dyDescent="0.2">
      <c r="S133" s="3"/>
    </row>
    <row r="134" spans="4:35" x14ac:dyDescent="0.2">
      <c r="S134" s="3"/>
    </row>
    <row r="135" spans="4:35" x14ac:dyDescent="0.2">
      <c r="S135" s="3"/>
    </row>
    <row r="136" spans="4:35" x14ac:dyDescent="0.2">
      <c r="S136" s="3"/>
    </row>
    <row r="137" spans="4:35" x14ac:dyDescent="0.2">
      <c r="S137" s="3"/>
    </row>
    <row r="138" spans="4:35" x14ac:dyDescent="0.2">
      <c r="S138" s="3"/>
    </row>
    <row r="139" spans="4:35" x14ac:dyDescent="0.2">
      <c r="S139" s="3"/>
    </row>
    <row r="140" spans="4:35" x14ac:dyDescent="0.2">
      <c r="S140" s="3"/>
    </row>
    <row r="141" spans="4:35" x14ac:dyDescent="0.2">
      <c r="S141" s="3"/>
    </row>
    <row r="142" spans="4:35" x14ac:dyDescent="0.2">
      <c r="S142" s="3"/>
    </row>
    <row r="143" spans="4:35" x14ac:dyDescent="0.2">
      <c r="S143" s="3"/>
    </row>
    <row r="144" spans="4:35" x14ac:dyDescent="0.2">
      <c r="S144" s="3"/>
    </row>
    <row r="145" spans="19:19" x14ac:dyDescent="0.2">
      <c r="S145" s="3"/>
    </row>
    <row r="146" spans="19:19" x14ac:dyDescent="0.2">
      <c r="S146" s="3"/>
    </row>
    <row r="147" spans="19:19" x14ac:dyDescent="0.2">
      <c r="S147" s="3"/>
    </row>
    <row r="148" spans="19:19" x14ac:dyDescent="0.2">
      <c r="S148" s="3"/>
    </row>
  </sheetData>
  <mergeCells count="69">
    <mergeCell ref="AI96:AK96"/>
    <mergeCell ref="B96:D96"/>
    <mergeCell ref="E96:F96"/>
    <mergeCell ref="H96:J96"/>
    <mergeCell ref="T96:X96"/>
    <mergeCell ref="Y96:AC96"/>
    <mergeCell ref="AE96:AH96"/>
    <mergeCell ref="BR45:BR46"/>
    <mergeCell ref="BA47:BA48"/>
    <mergeCell ref="BC47:BC48"/>
    <mergeCell ref="BD47:BD48"/>
    <mergeCell ref="BH47:BH48"/>
    <mergeCell ref="BI47:BI48"/>
    <mergeCell ref="BJ47:BJ48"/>
    <mergeCell ref="BP47:BP48"/>
    <mergeCell ref="BQ47:BQ48"/>
    <mergeCell ref="BR47:BR48"/>
    <mergeCell ref="BQ43:BQ44"/>
    <mergeCell ref="BR43:BR44"/>
    <mergeCell ref="BA45:BA46"/>
    <mergeCell ref="BC45:BC46"/>
    <mergeCell ref="BD45:BD46"/>
    <mergeCell ref="BH45:BH46"/>
    <mergeCell ref="BI45:BI46"/>
    <mergeCell ref="BJ45:BJ46"/>
    <mergeCell ref="BP45:BP46"/>
    <mergeCell ref="BQ45:BQ46"/>
    <mergeCell ref="BP41:BP42"/>
    <mergeCell ref="BQ41:BQ42"/>
    <mergeCell ref="BR41:BR42"/>
    <mergeCell ref="BA43:BA44"/>
    <mergeCell ref="BC43:BC44"/>
    <mergeCell ref="BD43:BD44"/>
    <mergeCell ref="BH43:BH44"/>
    <mergeCell ref="BI43:BI44"/>
    <mergeCell ref="BJ43:BJ44"/>
    <mergeCell ref="BP43:BP44"/>
    <mergeCell ref="BJ39:BJ40"/>
    <mergeCell ref="BP39:BP40"/>
    <mergeCell ref="BQ39:BQ40"/>
    <mergeCell ref="BR39:BR40"/>
    <mergeCell ref="BA41:BA42"/>
    <mergeCell ref="BC41:BC42"/>
    <mergeCell ref="BD41:BD42"/>
    <mergeCell ref="BH41:BH42"/>
    <mergeCell ref="BI41:BI42"/>
    <mergeCell ref="BJ41:BJ42"/>
    <mergeCell ref="BB5:BE5"/>
    <mergeCell ref="AS18:AS20"/>
    <mergeCell ref="BA37:BF37"/>
    <mergeCell ref="BH37:BN37"/>
    <mergeCell ref="BP37:BS37"/>
    <mergeCell ref="BA39:BA40"/>
    <mergeCell ref="BC39:BC40"/>
    <mergeCell ref="BD39:BD40"/>
    <mergeCell ref="BH39:BH40"/>
    <mergeCell ref="BI39:BI40"/>
    <mergeCell ref="AR3:AR4"/>
    <mergeCell ref="AS3:AT3"/>
    <mergeCell ref="BB3:BE3"/>
    <mergeCell ref="T4:U4"/>
    <mergeCell ref="AI4:AJ4"/>
    <mergeCell ref="BB4:BE4"/>
    <mergeCell ref="T2:U2"/>
    <mergeCell ref="AI2:AJ2"/>
    <mergeCell ref="T3:U3"/>
    <mergeCell ref="AI3:AJ3"/>
    <mergeCell ref="AN3:AO3"/>
    <mergeCell ref="AP3:AQ3"/>
  </mergeCells>
  <pageMargins left="0.25" right="0.25" top="0.75" bottom="0.75" header="0.3" footer="0.3"/>
  <pageSetup paperSize="9" scale="7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טרומפלדור הפקדות</vt:lpstr>
      <vt:lpstr>'טרומפלדור הפקדות'!Print_Area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 Cohen</dc:creator>
  <cp:lastModifiedBy>Nir Cohen</cp:lastModifiedBy>
  <dcterms:created xsi:type="dcterms:W3CDTF">2026-02-10T14:02:40Z</dcterms:created>
  <dcterms:modified xsi:type="dcterms:W3CDTF">2026-02-10T14:06:41Z</dcterms:modified>
</cp:coreProperties>
</file>